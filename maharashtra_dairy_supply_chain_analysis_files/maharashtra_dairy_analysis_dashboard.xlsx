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260" windowHeight="14000" activeTab="4"/>
  </bookViews>
  <sheets>
    <sheet name="District_Data" sheetId="1" r:id="rId1"/>
    <sheet name="Sector_Long_Format" sheetId="2" r:id="rId2"/>
    <sheet name="Govt_Summary_Rows" sheetId="3" r:id="rId3"/>
    <sheet name="District_Data_KPIS" sheetId="4" r:id="rId4"/>
    <sheet name="Dashboard" sheetId="5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<sst xmlns="http://schemas.openxmlformats.org/spreadsheetml/2006/main" count="462" uniqueCount="107">
  <si>
    <t>DIST</t>
  </si>
  <si>
    <t>Basic Procurement Govt</t>
  </si>
  <si>
    <t>Basic Procurement Co.op</t>
  </si>
  <si>
    <t>Basic Procurement Pvt</t>
  </si>
  <si>
    <t>Total Procurement</t>
  </si>
  <si>
    <t>Interstate Recipet Govt</t>
  </si>
  <si>
    <t>Interstate Recipet Co.op</t>
  </si>
  <si>
    <t>Interstate Recipet Pvt</t>
  </si>
  <si>
    <t>Interstate Recipet Total</t>
  </si>
  <si>
    <t>Outerstate Receipt Govt</t>
  </si>
  <si>
    <t>Outerstate Receipt Co.op</t>
  </si>
  <si>
    <t>Outerstate Receipt Pvt</t>
  </si>
  <si>
    <t xml:space="preserve">Outerstate Receipt Total </t>
  </si>
  <si>
    <t>Total Procurement &amp; Receipt</t>
  </si>
  <si>
    <t>Govt Pouch Sale</t>
  </si>
  <si>
    <t>Co.op Pouch Sale</t>
  </si>
  <si>
    <t>Pvt Pouch Sale</t>
  </si>
  <si>
    <t>Total Pouch Sale</t>
  </si>
  <si>
    <t>Govt Retail Sale</t>
  </si>
  <si>
    <t>Co.op Retail Sale</t>
  </si>
  <si>
    <t>Pvt Retail Sale</t>
  </si>
  <si>
    <t>Total Retail Sale</t>
  </si>
  <si>
    <t>Govt Outerstate Sale</t>
  </si>
  <si>
    <t>Co.op Outerstate Sale</t>
  </si>
  <si>
    <t>Pvt Outerstate Sale</t>
  </si>
  <si>
    <t>Total Outerstate Sale</t>
  </si>
  <si>
    <t>Govt Bi-Products</t>
  </si>
  <si>
    <t>Co.op Bi-Products</t>
  </si>
  <si>
    <t>Pvt Bi-Products</t>
  </si>
  <si>
    <t>Total Bi-Products</t>
  </si>
  <si>
    <t>Govt Conversion</t>
  </si>
  <si>
    <t>Co.op Conversion</t>
  </si>
  <si>
    <t>Pvt Conversion</t>
  </si>
  <si>
    <t>Total Conversion</t>
  </si>
  <si>
    <t>Mahanand</t>
  </si>
  <si>
    <t>Co.Op to Mahanand</t>
  </si>
  <si>
    <t>calc_total_procurement</t>
  </si>
  <si>
    <t>Self_Sufficiency_Ratio</t>
  </si>
  <si>
    <t>Total Sale</t>
  </si>
  <si>
    <t>Procurement_to_Sale_Ratio</t>
  </si>
  <si>
    <t>Volume_Tier</t>
  </si>
  <si>
    <t>Division</t>
  </si>
  <si>
    <t>Pune</t>
  </si>
  <si>
    <t>High Volume (10+ lakh)</t>
  </si>
  <si>
    <t>Sangli</t>
  </si>
  <si>
    <t>Satara</t>
  </si>
  <si>
    <t>Solapur</t>
  </si>
  <si>
    <t>Kolhapur</t>
  </si>
  <si>
    <t>Ahmednagar</t>
  </si>
  <si>
    <t>Nashik</t>
  </si>
  <si>
    <t>Nasik</t>
  </si>
  <si>
    <t>Mid Volume (1-10 lakh)</t>
  </si>
  <si>
    <t>Jalgaon</t>
  </si>
  <si>
    <t>Dhule</t>
  </si>
  <si>
    <t>Nandurbar</t>
  </si>
  <si>
    <t>Low Volume (&lt;1 lakh)</t>
  </si>
  <si>
    <t>Aurangabad</t>
  </si>
  <si>
    <t>Jalna</t>
  </si>
  <si>
    <t>Beed</t>
  </si>
  <si>
    <t>Parbhani</t>
  </si>
  <si>
    <t>Hingoli</t>
  </si>
  <si>
    <t>Nanded</t>
  </si>
  <si>
    <t>Dharashiv</t>
  </si>
  <si>
    <t>Latur</t>
  </si>
  <si>
    <t>Thane</t>
  </si>
  <si>
    <t>Konkan</t>
  </si>
  <si>
    <t>Raigad</t>
  </si>
  <si>
    <t>Ratnagiri</t>
  </si>
  <si>
    <t>Sindhudurg</t>
  </si>
  <si>
    <t>Amravati</t>
  </si>
  <si>
    <t>Akola</t>
  </si>
  <si>
    <t>Washim</t>
  </si>
  <si>
    <t>Buldhna</t>
  </si>
  <si>
    <t>Yavatmal</t>
  </si>
  <si>
    <t>Nagpur</t>
  </si>
  <si>
    <t>Wardha</t>
  </si>
  <si>
    <t>Bhandara</t>
  </si>
  <si>
    <t>Gondia</t>
  </si>
  <si>
    <t>Chandrpur</t>
  </si>
  <si>
    <t>Gadchiroli</t>
  </si>
  <si>
    <t>Sector</t>
  </si>
  <si>
    <t>Procurement_Lakhs</t>
  </si>
  <si>
    <t>Govt</t>
  </si>
  <si>
    <t>Co.op</t>
  </si>
  <si>
    <t>Pvt</t>
  </si>
  <si>
    <t>Pune Total</t>
  </si>
  <si>
    <t>Nashik Total</t>
  </si>
  <si>
    <t>Aurangabad Total</t>
  </si>
  <si>
    <t>Konkan Total</t>
  </si>
  <si>
    <t>Amravati Total</t>
  </si>
  <si>
    <t>Nagpur Total</t>
  </si>
  <si>
    <t>DIST TTL</t>
  </si>
  <si>
    <t>Mumbai</t>
  </si>
  <si>
    <t>MHND</t>
  </si>
  <si>
    <t>Grand Total</t>
  </si>
  <si>
    <t>Sum of Basic Procurement Govt</t>
  </si>
  <si>
    <t>Sum of Basic Procurement Co.op</t>
  </si>
  <si>
    <t>Sum of Basic Procurement Pvt</t>
  </si>
  <si>
    <t>Co.op%</t>
  </si>
  <si>
    <t>Pvt%</t>
  </si>
  <si>
    <t>Sum of Total Procurement &amp; Receipt</t>
  </si>
  <si>
    <t>Sum of Total Pouch Sale</t>
  </si>
  <si>
    <t>Sum of Total Retail Sale</t>
  </si>
  <si>
    <t>Sum of Total Bi-Products</t>
  </si>
  <si>
    <t>Sum of Total Conversion</t>
  </si>
  <si>
    <t>Total</t>
  </si>
  <si>
    <t>Maharashtra Dairy Supply Chain Analysis - July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</si>
</sst>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20"/>
      <color rgb="FF000000"/>
      <name val="Times New Roman"/>
      <charset val="1"/>
    </font>
    <font>
      <b/>
      <sz val="24"/>
      <color rgb="FFFFFFFF"/>
      <name val="Times New Roman"/>
      <charset val="134"/>
    </font>
    <font>
      <sz val="24"/>
      <color rgb="FF000000"/>
      <name val="Times New Roman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1" fillId="2" borderId="0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NumberFormat="1"/>
    <xf numFmtId="10" fontId="0" fillId="0" borderId="0" xfId="0" applyNumberFormat="1"/>
    <xf numFmtId="0" fontId="4" fillId="0" borderId="9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[maharashtra_dairy_analysis_dashboard.xlsx]District_Data_KPIS!PivotTable2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Top 10 Districts by Total Procurement &amp; Receipt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District_Data_KPIS!$B$24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70C0"/>
                </a:solidFill>
                <a:prstDash val="solid"/>
              </a:ln>
              <a:effectLst/>
            </c:spPr>
          </c:dPt>
          <c:dLbls>
            <c:delete val="1"/>
          </c:dLbls>
          <c:cat>
            <c:strRef>
              <c:f>District_Data_KPIS!$A$25:$A$35</c:f>
              <c:strCache>
                <c:ptCount val="10"/>
                <c:pt idx="0">
                  <c:v>Pune</c:v>
                </c:pt>
                <c:pt idx="1">
                  <c:v>Ahmednagar</c:v>
                </c:pt>
                <c:pt idx="2">
                  <c:v>Thane</c:v>
                </c:pt>
                <c:pt idx="3">
                  <c:v>Satara</c:v>
                </c:pt>
                <c:pt idx="4">
                  <c:v>Kolhapur</c:v>
                </c:pt>
                <c:pt idx="5">
                  <c:v>Solapur</c:v>
                </c:pt>
                <c:pt idx="6">
                  <c:v>Sangli</c:v>
                </c:pt>
                <c:pt idx="7">
                  <c:v>Nasik</c:v>
                </c:pt>
                <c:pt idx="8">
                  <c:v>Nagpur</c:v>
                </c:pt>
                <c:pt idx="9">
                  <c:v>Dharashiv</c:v>
                </c:pt>
              </c:strCache>
            </c:strRef>
          </c:cat>
          <c:val>
            <c:numRef>
              <c:f>District_Data_KPIS!$B$25:$B$35</c:f>
              <c:numCache>
                <c:formatCode>General</c:formatCode>
                <c:ptCount val="10"/>
                <c:pt idx="0">
                  <c:v>87.39</c:v>
                </c:pt>
                <c:pt idx="1">
                  <c:v>39.83</c:v>
                </c:pt>
                <c:pt idx="2">
                  <c:v>30.21</c:v>
                </c:pt>
                <c:pt idx="3">
                  <c:v>20.27</c:v>
                </c:pt>
                <c:pt idx="4">
                  <c:v>20.24</c:v>
                </c:pt>
                <c:pt idx="5">
                  <c:v>16.6</c:v>
                </c:pt>
                <c:pt idx="6">
                  <c:v>15.4</c:v>
                </c:pt>
                <c:pt idx="7">
                  <c:v>8.86</c:v>
                </c:pt>
                <c:pt idx="8">
                  <c:v>6.82</c:v>
                </c:pt>
                <c:pt idx="9">
                  <c:v>5.57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619592"/>
        <c:axId val="1407621640"/>
      </c:barChart>
      <c:catAx>
        <c:axId val="1407619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7621640"/>
        <c:crosses val="autoZero"/>
        <c:auto val="1"/>
        <c:lblAlgn val="ctr"/>
        <c:lblOffset val="100"/>
        <c:noMultiLvlLbl val="0"/>
      </c:catAx>
      <c:valAx>
        <c:axId val="140762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Total Procurement &amp; Receipt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761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4c3865-3748-4cd4-8eb5-7d36c5a427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Channel Mix %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District_Data_KPIS!$B$48</c:f>
              <c:strCache>
                <c:ptCount val="1"/>
                <c:pt idx="0">
                  <c:v>Total Pouch Sale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District_Data_KPIS!$B$49:$B$54</c:f>
              <c:numCache>
                <c:formatCode>0.00%</c:formatCode>
                <c:ptCount val="6"/>
                <c:pt idx="0">
                  <c:v>0.488789237668161</c:v>
                </c:pt>
                <c:pt idx="1">
                  <c:v>0.100227790432802</c:v>
                </c:pt>
                <c:pt idx="2">
                  <c:v>0.928710665552771</c:v>
                </c:pt>
                <c:pt idx="3">
                  <c:v>0.809210526315789</c:v>
                </c:pt>
                <c:pt idx="4">
                  <c:v>0.148869223205506</c:v>
                </c:pt>
                <c:pt idx="5">
                  <c:v>0.260233160621762</c:v>
                </c:pt>
              </c:numCache>
            </c:numRef>
          </c:val>
        </c:ser>
        <c:ser>
          <c:idx val="1"/>
          <c:order val="1"/>
          <c:tx>
            <c:strRef>
              <c:f>District_Data_KPIS!$C$48</c:f>
              <c:strCache>
                <c:ptCount val="1"/>
                <c:pt idx="0">
                  <c:v>Sum of Total Retail Sale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District_Data_KPIS!$C$49:$C$54</c:f>
              <c:numCache>
                <c:formatCode>0.00%</c:formatCode>
                <c:ptCount val="6"/>
                <c:pt idx="0">
                  <c:v>0.511210762331838</c:v>
                </c:pt>
                <c:pt idx="1">
                  <c:v>0.877752467729689</c:v>
                </c:pt>
                <c:pt idx="2">
                  <c:v>0.00278473962684489</c:v>
                </c:pt>
                <c:pt idx="3">
                  <c:v>0.120614035087719</c:v>
                </c:pt>
                <c:pt idx="4">
                  <c:v>0.578367748279253</c:v>
                </c:pt>
                <c:pt idx="5">
                  <c:v>0.24630829015544</c:v>
                </c:pt>
              </c:numCache>
            </c:numRef>
          </c:val>
        </c:ser>
        <c:ser>
          <c:idx val="2"/>
          <c:order val="2"/>
          <c:tx>
            <c:strRef>
              <c:f>District_Data_KPIS!$D$48</c:f>
              <c:strCache>
                <c:ptCount val="1"/>
                <c:pt idx="0">
                  <c:v>Sum of Total Bi-Products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District_Data_KPIS!$D$49:$D$54</c:f>
              <c:numCache>
                <c:formatCode>0.00%</c:formatCode>
                <c:ptCount val="6"/>
                <c:pt idx="0">
                  <c:v>0</c:v>
                </c:pt>
                <c:pt idx="1">
                  <c:v>0.0220197418375095</c:v>
                </c:pt>
                <c:pt idx="2">
                  <c:v>0.0685045948203843</c:v>
                </c:pt>
                <c:pt idx="3">
                  <c:v>0.0701754385964912</c:v>
                </c:pt>
                <c:pt idx="4">
                  <c:v>0.047787610619469</c:v>
                </c:pt>
                <c:pt idx="5">
                  <c:v>0.19779792746114</c:v>
                </c:pt>
              </c:numCache>
            </c:numRef>
          </c:val>
        </c:ser>
        <c:ser>
          <c:idx val="3"/>
          <c:order val="3"/>
          <c:tx>
            <c:strRef>
              <c:f>District_Data_KPIS!$E$48</c:f>
              <c:strCache>
                <c:ptCount val="1"/>
                <c:pt idx="0">
                  <c:v>Sum of Total Conversion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District_Data_KPIS!$E$49:$E$54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0.224975417895772</c:v>
                </c:pt>
                <c:pt idx="5">
                  <c:v>0.295660621761658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3643144"/>
        <c:axId val="1049244680"/>
      </c:barChart>
      <c:catAx>
        <c:axId val="1023643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9244680"/>
        <c:crosses val="autoZero"/>
        <c:auto val="1"/>
        <c:lblAlgn val="ctr"/>
        <c:lblOffset val="100"/>
        <c:noMultiLvlLbl val="0"/>
      </c:catAx>
      <c:valAx>
        <c:axId val="104924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364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ab4764-ae92-424d-af1a-3c184837b0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[maharashtra_dairy_analysis_dashboard.xlsx]District_Data_KPIS!PivotTable4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Division-Level Roll-up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District_Data_KPIS!$B$72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District_Data_KPIS!$A$73:$A$79</c:f>
              <c:strCache>
                <c:ptCount val="6"/>
                <c:pt idx="0">
                  <c:v>Pune</c:v>
                </c:pt>
                <c:pt idx="1">
                  <c:v>Nashik</c:v>
                </c:pt>
                <c:pt idx="2">
                  <c:v>Nagpur</c:v>
                </c:pt>
                <c:pt idx="3">
                  <c:v>Konkan</c:v>
                </c:pt>
                <c:pt idx="4">
                  <c:v>Aurangabad</c:v>
                </c:pt>
                <c:pt idx="5">
                  <c:v>Amravati</c:v>
                </c:pt>
              </c:strCache>
            </c:strRef>
          </c:cat>
          <c:val>
            <c:numRef>
              <c:f>District_Data_KPIS!$B$73:$B$79</c:f>
              <c:numCache>
                <c:formatCode>General</c:formatCode>
                <c:ptCount val="6"/>
                <c:pt idx="0">
                  <c:v>159.9</c:v>
                </c:pt>
                <c:pt idx="1">
                  <c:v>55.99</c:v>
                </c:pt>
                <c:pt idx="2">
                  <c:v>10.34</c:v>
                </c:pt>
                <c:pt idx="3">
                  <c:v>36</c:v>
                </c:pt>
                <c:pt idx="4">
                  <c:v>16.65</c:v>
                </c:pt>
                <c:pt idx="5">
                  <c:v>3.61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9353224"/>
        <c:axId val="891225096"/>
      </c:barChart>
      <c:catAx>
        <c:axId val="1049353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225096"/>
        <c:crosses val="autoZero"/>
        <c:auto val="1"/>
        <c:lblAlgn val="ctr"/>
        <c:lblOffset val="100"/>
        <c:noMultiLvlLbl val="0"/>
      </c:catAx>
      <c:valAx>
        <c:axId val="89122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Total Procurement &amp; Receipt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171934185606061"/>
              <c:y val="0.05793095341435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9353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3ed967-9d84-41da-9105-86596dc01a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Co-operative vs Private Sector Share by Division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District_Data_KPIS!$B$12</c:f>
              <c:strCache>
                <c:ptCount val="1"/>
                <c:pt idx="0">
                  <c:v>Co.op%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District_Data_KPIS!$A$13:$A$18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District_Data_KPIS!$B$13:$B$18</c:f>
              <c:numCache>
                <c:formatCode>0.00%</c:formatCode>
                <c:ptCount val="6"/>
                <c:pt idx="0">
                  <c:v>0.0221606648199446</c:v>
                </c:pt>
                <c:pt idx="1">
                  <c:v>0.119901112484549</c:v>
                </c:pt>
                <c:pt idx="2">
                  <c:v>0.569444444444445</c:v>
                </c:pt>
                <c:pt idx="3">
                  <c:v>0.0793357933579336</c:v>
                </c:pt>
                <c:pt idx="4">
                  <c:v>0.180855397148676</c:v>
                </c:pt>
                <c:pt idx="5">
                  <c:v>0.297026394921483</c:v>
                </c:pt>
              </c:numCache>
            </c:numRef>
          </c:val>
        </c:ser>
        <c:ser>
          <c:idx val="1"/>
          <c:order val="1"/>
          <c:tx>
            <c:strRef>
              <c:f>District_Data_KPIS!$C$12</c:f>
              <c:strCache>
                <c:ptCount val="1"/>
                <c:pt idx="0">
                  <c:v>Pvt%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District_Data_KPIS!$A$13:$A$18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District_Data_KPIS!$C$13:$C$18</c:f>
              <c:numCache>
                <c:formatCode>0.00%</c:formatCode>
                <c:ptCount val="6"/>
                <c:pt idx="0">
                  <c:v>0.977839335180055</c:v>
                </c:pt>
                <c:pt idx="1">
                  <c:v>0.880098887515451</c:v>
                </c:pt>
                <c:pt idx="2">
                  <c:v>0.430555555555556</c:v>
                </c:pt>
                <c:pt idx="3">
                  <c:v>0.920664206642066</c:v>
                </c:pt>
                <c:pt idx="4">
                  <c:v>0.819144602851324</c:v>
                </c:pt>
                <c:pt idx="5">
                  <c:v>0.702973605078517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896464904"/>
        <c:axId val="992438280"/>
      </c:barChart>
      <c:catAx>
        <c:axId val="896464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438280"/>
        <c:crosses val="autoZero"/>
        <c:auto val="1"/>
        <c:lblAlgn val="ctr"/>
        <c:lblOffset val="100"/>
        <c:noMultiLvlLbl val="0"/>
      </c:catAx>
      <c:valAx>
        <c:axId val="9924382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46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0e9817-4bba-475a-9138-f43b28b65a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503050405090304" pitchFamily="12"/>
              <a:ea typeface="Times New Roman" panose="02020503050405090304" pitchFamily="12"/>
              <a:cs typeface="Times New Roman" panose="02020503050405090304" pitchFamily="12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District_Data_KPIS!$B$87</c:f>
              <c:strCache>
                <c:ptCount val="1"/>
                <c:pt idx="0">
                  <c:v>Self_Sufficiency_Ratio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District_Data_KPIS!$A$88:$A$91</c:f>
              <c:strCache>
                <c:ptCount val="4"/>
                <c:pt idx="0">
                  <c:v>Thane</c:v>
                </c:pt>
                <c:pt idx="1">
                  <c:v>Raigad</c:v>
                </c:pt>
                <c:pt idx="2">
                  <c:v>Nagpur</c:v>
                </c:pt>
                <c:pt idx="3">
                  <c:v>Pune</c:v>
                </c:pt>
              </c:strCache>
            </c:strRef>
          </c:cat>
          <c:val>
            <c:numRef>
              <c:f>District_Data_KPIS!$B$88:$B$91</c:f>
              <c:numCache>
                <c:formatCode>General</c:formatCode>
                <c:ptCount val="4"/>
                <c:pt idx="0">
                  <c:v>0.005</c:v>
                </c:pt>
                <c:pt idx="1">
                  <c:v>0</c:v>
                </c:pt>
                <c:pt idx="2">
                  <c:v>0.28</c:v>
                </c:pt>
                <c:pt idx="3">
                  <c:v>0.337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392455"/>
        <c:axId val="660394503"/>
      </c:barChart>
      <c:catAx>
        <c:axId val="660392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394503"/>
        <c:crosses val="autoZero"/>
        <c:auto val="1"/>
        <c:lblAlgn val="ctr"/>
        <c:lblOffset val="100"/>
        <c:noMultiLvlLbl val="0"/>
      </c:catAx>
      <c:valAx>
        <c:axId val="660394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Self_Sufficiency_Ratio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392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5b366b-a295-4932-bac5-641f01c7e9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[maharashtra_dairy_analysis_dashboard.xlsx]District_Data_KPIS!PivotTable4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Division-Level Roll-up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District_Data_KPIS!$B$72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District_Data_KPIS!$A$73:$A$79</c:f>
              <c:strCache>
                <c:ptCount val="6"/>
                <c:pt idx="0">
                  <c:v>Pune</c:v>
                </c:pt>
                <c:pt idx="1">
                  <c:v>Nashik</c:v>
                </c:pt>
                <c:pt idx="2">
                  <c:v>Nagpur</c:v>
                </c:pt>
                <c:pt idx="3">
                  <c:v>Konkan</c:v>
                </c:pt>
                <c:pt idx="4">
                  <c:v>Aurangabad</c:v>
                </c:pt>
                <c:pt idx="5">
                  <c:v>Amravati</c:v>
                </c:pt>
              </c:strCache>
            </c:strRef>
          </c:cat>
          <c:val>
            <c:numRef>
              <c:f>District_Data_KPIS!$B$73:$B$79</c:f>
              <c:numCache>
                <c:formatCode>General</c:formatCode>
                <c:ptCount val="6"/>
                <c:pt idx="0">
                  <c:v>159.9</c:v>
                </c:pt>
                <c:pt idx="1">
                  <c:v>55.99</c:v>
                </c:pt>
                <c:pt idx="2">
                  <c:v>10.34</c:v>
                </c:pt>
                <c:pt idx="3">
                  <c:v>36</c:v>
                </c:pt>
                <c:pt idx="4">
                  <c:v>16.65</c:v>
                </c:pt>
                <c:pt idx="5">
                  <c:v>3.61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f7fbbe-4333-47d7-87bc-d05c9e9f20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Co-operative vs Private Sector Share by Division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District_Data_KPIS!$B$12</c:f>
              <c:strCache>
                <c:ptCount val="1"/>
                <c:pt idx="0">
                  <c:v>Co.op%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21836972828804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District_Data_KPIS!$A$13:$A$18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District_Data_KPIS!$B$13:$B$18</c:f>
              <c:numCache>
                <c:formatCode>0.00%</c:formatCode>
                <c:ptCount val="6"/>
                <c:pt idx="0">
                  <c:v>0.0221606648199446</c:v>
                </c:pt>
                <c:pt idx="1">
                  <c:v>0.119901112484549</c:v>
                </c:pt>
                <c:pt idx="2">
                  <c:v>0.569444444444445</c:v>
                </c:pt>
                <c:pt idx="3">
                  <c:v>0.0793357933579336</c:v>
                </c:pt>
                <c:pt idx="4">
                  <c:v>0.180855397148676</c:v>
                </c:pt>
                <c:pt idx="5">
                  <c:v>0.297026394921483</c:v>
                </c:pt>
              </c:numCache>
            </c:numRef>
          </c:val>
        </c:ser>
        <c:ser>
          <c:idx val="1"/>
          <c:order val="1"/>
          <c:tx>
            <c:strRef>
              <c:f>District_Data_KPIS!$C$12</c:f>
              <c:strCache>
                <c:ptCount val="1"/>
                <c:pt idx="0">
                  <c:v>Pvt%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District_Data_KPIS!$A$13:$A$18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District_Data_KPIS!$C$13:$C$18</c:f>
              <c:numCache>
                <c:formatCode>0.00%</c:formatCode>
                <c:ptCount val="6"/>
                <c:pt idx="0">
                  <c:v>0.977839335180055</c:v>
                </c:pt>
                <c:pt idx="1">
                  <c:v>0.880098887515451</c:v>
                </c:pt>
                <c:pt idx="2">
                  <c:v>0.430555555555556</c:v>
                </c:pt>
                <c:pt idx="3">
                  <c:v>0.920664206642066</c:v>
                </c:pt>
                <c:pt idx="4">
                  <c:v>0.819144602851324</c:v>
                </c:pt>
                <c:pt idx="5">
                  <c:v>0.702973605078517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896464904"/>
        <c:axId val="992438280"/>
      </c:barChart>
      <c:catAx>
        <c:axId val="896464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438280"/>
        <c:crosses val="autoZero"/>
        <c:auto val="1"/>
        <c:lblAlgn val="ctr"/>
        <c:lblOffset val="100"/>
        <c:noMultiLvlLbl val="0"/>
      </c:catAx>
      <c:valAx>
        <c:axId val="9924382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46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a285c4-81e4-4e7e-ac45-ece2df6fd4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[maharashtra_dairy_analysis_dashboard.xlsx]District_Data_KPIS!PivotTable2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Top 10 Districts by Total Procurement &amp; Receipt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District_Data_KPIS!$B$24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70C0"/>
                </a:solidFill>
                <a:prstDash val="solid"/>
              </a:ln>
              <a:effectLst/>
            </c:spPr>
          </c:dPt>
          <c:dLbls>
            <c:delete val="1"/>
          </c:dLbls>
          <c:cat>
            <c:strRef>
              <c:f>District_Data_KPIS!$A$25:$A$35</c:f>
              <c:strCache>
                <c:ptCount val="10"/>
                <c:pt idx="0">
                  <c:v>Pune</c:v>
                </c:pt>
                <c:pt idx="1">
                  <c:v>Ahmednagar</c:v>
                </c:pt>
                <c:pt idx="2">
                  <c:v>Thane</c:v>
                </c:pt>
                <c:pt idx="3">
                  <c:v>Satara</c:v>
                </c:pt>
                <c:pt idx="4">
                  <c:v>Kolhapur</c:v>
                </c:pt>
                <c:pt idx="5">
                  <c:v>Solapur</c:v>
                </c:pt>
                <c:pt idx="6">
                  <c:v>Sangli</c:v>
                </c:pt>
                <c:pt idx="7">
                  <c:v>Nasik</c:v>
                </c:pt>
                <c:pt idx="8">
                  <c:v>Nagpur</c:v>
                </c:pt>
                <c:pt idx="9">
                  <c:v>Dharashiv</c:v>
                </c:pt>
              </c:strCache>
            </c:strRef>
          </c:cat>
          <c:val>
            <c:numRef>
              <c:f>District_Data_KPIS!$B$25:$B$35</c:f>
              <c:numCache>
                <c:formatCode>General</c:formatCode>
                <c:ptCount val="10"/>
                <c:pt idx="0">
                  <c:v>87.39</c:v>
                </c:pt>
                <c:pt idx="1">
                  <c:v>39.83</c:v>
                </c:pt>
                <c:pt idx="2">
                  <c:v>30.21</c:v>
                </c:pt>
                <c:pt idx="3">
                  <c:v>20.27</c:v>
                </c:pt>
                <c:pt idx="4">
                  <c:v>20.24</c:v>
                </c:pt>
                <c:pt idx="5">
                  <c:v>16.6</c:v>
                </c:pt>
                <c:pt idx="6">
                  <c:v>15.4</c:v>
                </c:pt>
                <c:pt idx="7">
                  <c:v>8.86</c:v>
                </c:pt>
                <c:pt idx="8">
                  <c:v>6.82</c:v>
                </c:pt>
                <c:pt idx="9">
                  <c:v>5.57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619592"/>
        <c:axId val="1407621640"/>
      </c:barChart>
      <c:catAx>
        <c:axId val="1407619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7621640"/>
        <c:crosses val="autoZero"/>
        <c:auto val="1"/>
        <c:lblAlgn val="ctr"/>
        <c:lblOffset val="100"/>
        <c:noMultiLvlLbl val="0"/>
      </c:catAx>
      <c:valAx>
        <c:axId val="140762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Total Procurement &amp; Receipt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761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30a155e-f859-47c4-8920-bc2fc92d31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Channel Mix %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District_Data_KPIS!$B$48</c:f>
              <c:strCache>
                <c:ptCount val="1"/>
                <c:pt idx="0">
                  <c:v>Total Pouch Sale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District_Data_KPIS!$B$49:$B$54</c:f>
              <c:numCache>
                <c:formatCode>0.00%</c:formatCode>
                <c:ptCount val="6"/>
                <c:pt idx="0">
                  <c:v>0.488789237668161</c:v>
                </c:pt>
                <c:pt idx="1">
                  <c:v>0.100227790432802</c:v>
                </c:pt>
                <c:pt idx="2">
                  <c:v>0.928710665552771</c:v>
                </c:pt>
                <c:pt idx="3">
                  <c:v>0.809210526315789</c:v>
                </c:pt>
                <c:pt idx="4">
                  <c:v>0.148869223205506</c:v>
                </c:pt>
                <c:pt idx="5">
                  <c:v>0.260233160621762</c:v>
                </c:pt>
              </c:numCache>
            </c:numRef>
          </c:val>
        </c:ser>
        <c:ser>
          <c:idx val="1"/>
          <c:order val="1"/>
          <c:tx>
            <c:strRef>
              <c:f>District_Data_KPIS!$C$48</c:f>
              <c:strCache>
                <c:ptCount val="1"/>
                <c:pt idx="0">
                  <c:v>Sum of Total Retail Sale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District_Data_KPIS!$C$49:$C$54</c:f>
              <c:numCache>
                <c:formatCode>0.00%</c:formatCode>
                <c:ptCount val="6"/>
                <c:pt idx="0">
                  <c:v>0.511210762331838</c:v>
                </c:pt>
                <c:pt idx="1">
                  <c:v>0.877752467729689</c:v>
                </c:pt>
                <c:pt idx="2">
                  <c:v>0.00278473962684489</c:v>
                </c:pt>
                <c:pt idx="3">
                  <c:v>0.120614035087719</c:v>
                </c:pt>
                <c:pt idx="4">
                  <c:v>0.578367748279253</c:v>
                </c:pt>
                <c:pt idx="5">
                  <c:v>0.24630829015544</c:v>
                </c:pt>
              </c:numCache>
            </c:numRef>
          </c:val>
        </c:ser>
        <c:ser>
          <c:idx val="2"/>
          <c:order val="2"/>
          <c:tx>
            <c:strRef>
              <c:f>District_Data_KPIS!$D$48</c:f>
              <c:strCache>
                <c:ptCount val="1"/>
                <c:pt idx="0">
                  <c:v>Sum of Total Bi-Products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District_Data_KPIS!$D$49:$D$54</c:f>
              <c:numCache>
                <c:formatCode>0.00%</c:formatCode>
                <c:ptCount val="6"/>
                <c:pt idx="0">
                  <c:v>0</c:v>
                </c:pt>
                <c:pt idx="1">
                  <c:v>0.0220197418375095</c:v>
                </c:pt>
                <c:pt idx="2">
                  <c:v>0.0685045948203843</c:v>
                </c:pt>
                <c:pt idx="3">
                  <c:v>0.0701754385964912</c:v>
                </c:pt>
                <c:pt idx="4">
                  <c:v>0.047787610619469</c:v>
                </c:pt>
                <c:pt idx="5">
                  <c:v>0.19779792746114</c:v>
                </c:pt>
              </c:numCache>
            </c:numRef>
          </c:val>
        </c:ser>
        <c:ser>
          <c:idx val="3"/>
          <c:order val="3"/>
          <c:tx>
            <c:strRef>
              <c:f>District_Data_KPIS!$E$48</c:f>
              <c:strCache>
                <c:ptCount val="1"/>
                <c:pt idx="0">
                  <c:v>Sum of Total Conversion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District_Data_KPIS!$A$49:$A$54</c:f>
              <c:strCache>
                <c:ptCount val="6"/>
                <c:pt idx="0">
                  <c:v>Amravati</c:v>
                </c:pt>
                <c:pt idx="1">
                  <c:v>Aurangabad</c:v>
                </c:pt>
                <c:pt idx="2">
                  <c:v>Konkan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District_Data_KPIS!$E$49:$E$54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0.224975417895772</c:v>
                </c:pt>
                <c:pt idx="5">
                  <c:v>0.295660621761658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3643144"/>
        <c:axId val="1049244680"/>
      </c:barChart>
      <c:catAx>
        <c:axId val="1023643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9244680"/>
        <c:crosses val="autoZero"/>
        <c:auto val="1"/>
        <c:lblAlgn val="ctr"/>
        <c:lblOffset val="100"/>
        <c:noMultiLvlLbl val="0"/>
      </c:catAx>
      <c:valAx>
        <c:axId val="104924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364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dfa146-ce5c-4f53-ad2d-4cb6d53044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[maharashtra_dairy_analysis_dashboard.xlsx]District_Data_KPIS!PivotTable4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rPr lang="en-US"/>
              <a:t>Division-Level Roll-up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District_Data_KPIS!$B$72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District_Data_KPIS!$A$73:$A$79</c:f>
              <c:strCache>
                <c:ptCount val="6"/>
                <c:pt idx="0">
                  <c:v>Pune</c:v>
                </c:pt>
                <c:pt idx="1">
                  <c:v>Nashik</c:v>
                </c:pt>
                <c:pt idx="2">
                  <c:v>Nagpur</c:v>
                </c:pt>
                <c:pt idx="3">
                  <c:v>Konkan</c:v>
                </c:pt>
                <c:pt idx="4">
                  <c:v>Aurangabad</c:v>
                </c:pt>
                <c:pt idx="5">
                  <c:v>Amravati</c:v>
                </c:pt>
              </c:strCache>
            </c:strRef>
          </c:cat>
          <c:val>
            <c:numRef>
              <c:f>District_Data_KPIS!$B$73:$B$79</c:f>
              <c:numCache>
                <c:formatCode>General</c:formatCode>
                <c:ptCount val="6"/>
                <c:pt idx="0">
                  <c:v>159.9</c:v>
                </c:pt>
                <c:pt idx="1">
                  <c:v>55.99</c:v>
                </c:pt>
                <c:pt idx="2">
                  <c:v>10.34</c:v>
                </c:pt>
                <c:pt idx="3">
                  <c:v>36</c:v>
                </c:pt>
                <c:pt idx="4">
                  <c:v>16.65</c:v>
                </c:pt>
                <c:pt idx="5">
                  <c:v>3.61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c82a1b-5d55-4bac-b6d1-d4cc856673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503050405090304" pitchFamily="12"/>
              <a:ea typeface="Times New Roman" panose="02020503050405090304" pitchFamily="12"/>
              <a:cs typeface="Times New Roman" panose="02020503050405090304" pitchFamily="12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District_Data_KPIS!$B$87</c:f>
              <c:strCache>
                <c:ptCount val="1"/>
                <c:pt idx="0">
                  <c:v>Self_Sufficiency_Ratio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District_Data_KPIS!$A$88:$A$91</c:f>
              <c:strCache>
                <c:ptCount val="4"/>
                <c:pt idx="0">
                  <c:v>Thane</c:v>
                </c:pt>
                <c:pt idx="1">
                  <c:v>Raigad</c:v>
                </c:pt>
                <c:pt idx="2">
                  <c:v>Nagpur</c:v>
                </c:pt>
                <c:pt idx="3">
                  <c:v>Pune</c:v>
                </c:pt>
              </c:strCache>
            </c:strRef>
          </c:cat>
          <c:val>
            <c:numRef>
              <c:f>District_Data_KPIS!$B$88:$B$91</c:f>
              <c:numCache>
                <c:formatCode>General</c:formatCode>
                <c:ptCount val="4"/>
                <c:pt idx="0">
                  <c:v>0.005</c:v>
                </c:pt>
                <c:pt idx="1">
                  <c:v>0</c:v>
                </c:pt>
                <c:pt idx="2">
                  <c:v>0.28</c:v>
                </c:pt>
                <c:pt idx="3">
                  <c:v>0.337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392455"/>
        <c:axId val="660394503"/>
      </c:barChart>
      <c:catAx>
        <c:axId val="660392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394503"/>
        <c:crosses val="autoZero"/>
        <c:auto val="1"/>
        <c:lblAlgn val="ctr"/>
        <c:lblOffset val="100"/>
        <c:noMultiLvlLbl val="0"/>
      </c:catAx>
      <c:valAx>
        <c:axId val="660394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39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89da63-f3ad-4f1a-9d80-10a23f918c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2"/>
                <a:ea typeface="Times New Roman" panose="02020503050405090304" pitchFamily="12"/>
                <a:cs typeface="Times New Roman" panose="02020503050405090304" pitchFamily="12"/>
              </a:defRPr>
            </a:pPr>
            <a:r>
              <a:t>Self-Sufficiency Ratio: Lowest-Ranking Districts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District_Data_KPIS!$B$87</c:f>
              <c:strCache>
                <c:ptCount val="1"/>
                <c:pt idx="0">
                  <c:v>Self_Sufficiency_Ratio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District_Data_KPIS!$A$88:$A$91</c:f>
              <c:strCache>
                <c:ptCount val="4"/>
                <c:pt idx="0">
                  <c:v>Thane</c:v>
                </c:pt>
                <c:pt idx="1">
                  <c:v>Raigad</c:v>
                </c:pt>
                <c:pt idx="2">
                  <c:v>Nagpur</c:v>
                </c:pt>
                <c:pt idx="3">
                  <c:v>Pune</c:v>
                </c:pt>
              </c:strCache>
            </c:strRef>
          </c:cat>
          <c:val>
            <c:numRef>
              <c:f>District_Data_KPIS!$B$88:$B$91</c:f>
              <c:numCache>
                <c:formatCode>General</c:formatCode>
                <c:ptCount val="4"/>
                <c:pt idx="0">
                  <c:v>0.005</c:v>
                </c:pt>
                <c:pt idx="1">
                  <c:v>0</c:v>
                </c:pt>
                <c:pt idx="2">
                  <c:v>0.28</c:v>
                </c:pt>
                <c:pt idx="3">
                  <c:v>0.337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392455"/>
        <c:axId val="660394503"/>
      </c:barChart>
      <c:catAx>
        <c:axId val="660392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394503"/>
        <c:crosses val="autoZero"/>
        <c:auto val="1"/>
        <c:lblAlgn val="ctr"/>
        <c:lblOffset val="100"/>
        <c:noMultiLvlLbl val="0"/>
      </c:catAx>
      <c:valAx>
        <c:axId val="660394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Self_Sufficiency_Ratio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392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deac5e-7fe4-43d1-aa2e-43e397d48c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676275</xdr:colOff>
      <xdr:row>20</xdr:row>
      <xdr:rowOff>161925</xdr:rowOff>
    </xdr:from>
    <xdr:to>
      <xdr:col>9</xdr:col>
      <xdr:colOff>57150</xdr:colOff>
      <xdr:row>35</xdr:row>
      <xdr:rowOff>47625</xdr:rowOff>
    </xdr:to>
    <xdr:graphicFrame>
      <xdr:nvGraphicFramePr>
        <xdr:cNvPr id="2" name="Chart 1"/>
        <xdr:cNvGraphicFramePr/>
      </xdr:nvGraphicFramePr>
      <xdr:xfrm>
        <a:off x="4485005" y="4429125"/>
        <a:ext cx="838009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54</xdr:row>
      <xdr:rowOff>95250</xdr:rowOff>
    </xdr:from>
    <xdr:to>
      <xdr:col>3</xdr:col>
      <xdr:colOff>609600</xdr:colOff>
      <xdr:row>68</xdr:row>
      <xdr:rowOff>171450</xdr:rowOff>
    </xdr:to>
    <xdr:graphicFrame>
      <xdr:nvGraphicFramePr>
        <xdr:cNvPr id="3" name="Chart 2"/>
        <xdr:cNvGraphicFramePr/>
      </xdr:nvGraphicFramePr>
      <xdr:xfrm>
        <a:off x="257175" y="11616690"/>
        <a:ext cx="6181725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</xdr:colOff>
      <xdr:row>68</xdr:row>
      <xdr:rowOff>171450</xdr:rowOff>
    </xdr:from>
    <xdr:to>
      <xdr:col>16</xdr:col>
      <xdr:colOff>47625</xdr:colOff>
      <xdr:row>84</xdr:row>
      <xdr:rowOff>114300</xdr:rowOff>
    </xdr:to>
    <xdr:graphicFrame>
      <xdr:nvGraphicFramePr>
        <xdr:cNvPr id="4" name="Chart 3"/>
        <xdr:cNvGraphicFramePr/>
      </xdr:nvGraphicFramePr>
      <xdr:xfrm>
        <a:off x="10123805" y="14679930"/>
        <a:ext cx="6946265" cy="3356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257175</xdr:colOff>
      <xdr:row>4</xdr:row>
      <xdr:rowOff>47625</xdr:rowOff>
    </xdr:from>
    <xdr:to>
      <xdr:col>12</xdr:col>
      <xdr:colOff>352425</xdr:colOff>
      <xdr:row>18</xdr:row>
      <xdr:rowOff>123825</xdr:rowOff>
    </xdr:to>
    <xdr:graphicFrame>
      <xdr:nvGraphicFramePr>
        <xdr:cNvPr id="5" name="Chart 4"/>
        <xdr:cNvGraphicFramePr/>
      </xdr:nvGraphicFramePr>
      <xdr:xfrm>
        <a:off x="8188325" y="901065"/>
        <a:ext cx="6725285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923925</xdr:colOff>
      <xdr:row>85</xdr:row>
      <xdr:rowOff>38100</xdr:rowOff>
    </xdr:from>
    <xdr:to>
      <xdr:col>7</xdr:col>
      <xdr:colOff>142875</xdr:colOff>
      <xdr:row>99</xdr:row>
      <xdr:rowOff>114300</xdr:rowOff>
    </xdr:to>
    <xdr:graphicFrame>
      <xdr:nvGraphicFramePr>
        <xdr:cNvPr id="6" name="Chart 5"/>
        <xdr:cNvGraphicFramePr/>
      </xdr:nvGraphicFramePr>
      <xdr:xfrm>
        <a:off x="4732655" y="18173700"/>
        <a:ext cx="698754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1247775</xdr:colOff>
      <xdr:row>92</xdr:row>
      <xdr:rowOff>19050</xdr:rowOff>
    </xdr:from>
    <xdr:to>
      <xdr:col>4</xdr:col>
      <xdr:colOff>571500</xdr:colOff>
      <xdr:row>94</xdr:row>
      <xdr:rowOff>142875</xdr:rowOff>
    </xdr:to>
    <xdr:sp>
      <xdr:nvSpPr>
        <xdr:cNvPr id="7" name="TextBox 6"/>
        <xdr:cNvSpPr txBox="1"/>
      </xdr:nvSpPr>
      <xdr:spPr>
        <a:xfrm>
          <a:off x="7077075" y="19648170"/>
          <a:ext cx="1425575" cy="550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0% - fully import-dependent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828675</xdr:colOff>
      <xdr:row>93</xdr:row>
      <xdr:rowOff>38100</xdr:rowOff>
    </xdr:from>
    <xdr:to>
      <xdr:col>3</xdr:col>
      <xdr:colOff>1114425</xdr:colOff>
      <xdr:row>93</xdr:row>
      <xdr:rowOff>38100</xdr:rowOff>
    </xdr:to>
    <xdr:cxnSp>
      <xdr:nvCxnSpPr>
        <xdr:cNvPr id="8" name="Straight Connector 7"/>
        <xdr:cNvCxnSpPr/>
      </xdr:nvCxnSpPr>
      <xdr:spPr>
        <a:xfrm flipH="1">
          <a:off x="6657975" y="19880580"/>
          <a:ext cx="285750" cy="0"/>
        </a:xfrm>
        <a:prstGeom prst="line">
          <a:avLst/>
        </a:prstGeom>
        <a:ln>
          <a:solidFill>
            <a:srgbClr val="0070B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70</xdr:row>
      <xdr:rowOff>0</xdr:rowOff>
    </xdr:from>
    <xdr:to>
      <xdr:col>4</xdr:col>
      <xdr:colOff>1076325</xdr:colOff>
      <xdr:row>84</xdr:row>
      <xdr:rowOff>76200</xdr:rowOff>
    </xdr:to>
    <xdr:graphicFrame>
      <xdr:nvGraphicFramePr>
        <xdr:cNvPr id="9" name="Chart 8"/>
        <xdr:cNvGraphicFramePr/>
      </xdr:nvGraphicFramePr>
      <xdr:xfrm>
        <a:off x="4265930" y="14935200"/>
        <a:ext cx="4741545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</xdr:row>
      <xdr:rowOff>0</xdr:rowOff>
    </xdr:from>
    <xdr:to>
      <xdr:col>10</xdr:col>
      <xdr:colOff>371475</xdr:colOff>
      <xdr:row>18</xdr:row>
      <xdr:rowOff>19050</xdr:rowOff>
    </xdr:to>
    <xdr:graphicFrame>
      <xdr:nvGraphicFramePr>
        <xdr:cNvPr id="2" name="Chart 4"/>
        <xdr:cNvGraphicFramePr/>
      </xdr:nvGraphicFramePr>
      <xdr:xfrm>
        <a:off x="9525" y="836930"/>
        <a:ext cx="7677150" cy="321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28575</xdr:rowOff>
    </xdr:from>
    <xdr:to>
      <xdr:col>10</xdr:col>
      <xdr:colOff>361950</xdr:colOff>
      <xdr:row>32</xdr:row>
      <xdr:rowOff>104775</xdr:rowOff>
    </xdr:to>
    <xdr:graphicFrame>
      <xdr:nvGraphicFramePr>
        <xdr:cNvPr id="3" name="Chart 1"/>
        <xdr:cNvGraphicFramePr/>
      </xdr:nvGraphicFramePr>
      <xdr:xfrm>
        <a:off x="0" y="4065905"/>
        <a:ext cx="767715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32</xdr:row>
      <xdr:rowOff>114300</xdr:rowOff>
    </xdr:from>
    <xdr:to>
      <xdr:col>10</xdr:col>
      <xdr:colOff>352425</xdr:colOff>
      <xdr:row>47</xdr:row>
      <xdr:rowOff>0</xdr:rowOff>
    </xdr:to>
    <xdr:graphicFrame>
      <xdr:nvGraphicFramePr>
        <xdr:cNvPr id="4" name="Chart 2"/>
        <xdr:cNvGraphicFramePr/>
      </xdr:nvGraphicFramePr>
      <xdr:xfrm>
        <a:off x="9525" y="7138670"/>
        <a:ext cx="7658100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401955</xdr:colOff>
      <xdr:row>20</xdr:row>
      <xdr:rowOff>129540</xdr:rowOff>
    </xdr:from>
    <xdr:to>
      <xdr:col>18</xdr:col>
      <xdr:colOff>726440</xdr:colOff>
      <xdr:row>40</xdr:row>
      <xdr:rowOff>137160</xdr:rowOff>
    </xdr:to>
    <xdr:graphicFrame>
      <xdr:nvGraphicFramePr>
        <xdr:cNvPr id="5" name="Chart 8"/>
        <xdr:cNvGraphicFramePr/>
      </xdr:nvGraphicFramePr>
      <xdr:xfrm>
        <a:off x="7717155" y="4593590"/>
        <a:ext cx="6176645" cy="4274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-600075</xdr:colOff>
      <xdr:row>0</xdr:row>
      <xdr:rowOff>-2533650</xdr:rowOff>
    </xdr:from>
    <xdr:to>
      <xdr:col>0</xdr:col>
      <xdr:colOff>-600075</xdr:colOff>
      <xdr:row>0</xdr:row>
      <xdr:rowOff>-2533650</xdr:rowOff>
    </xdr:to>
    <xdr:graphicFrame>
      <xdr:nvGraphicFramePr>
        <xdr:cNvPr id="6" name="Chart 5"/>
        <xdr:cNvGraphicFramePr/>
      </xdr:nvGraphicFramePr>
      <xdr:xfrm>
        <a:off x="-600075" y="-2533650"/>
        <a:ext cx="635" cy="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381000</xdr:colOff>
      <xdr:row>3</xdr:row>
      <xdr:rowOff>0</xdr:rowOff>
    </xdr:from>
    <xdr:to>
      <xdr:col>13</xdr:col>
      <xdr:colOff>228600</xdr:colOff>
      <xdr:row>7</xdr:row>
      <xdr:rowOff>85725</xdr:rowOff>
    </xdr:to>
    <xdr:sp>
      <xdr:nvSpPr>
        <xdr:cNvPr id="11" name="Rectangle 10"/>
        <xdr:cNvSpPr/>
      </xdr:nvSpPr>
      <xdr:spPr>
        <a:xfrm>
          <a:off x="7696200" y="836930"/>
          <a:ext cx="2042160" cy="939165"/>
        </a:xfrm>
        <a:prstGeom prst="rect">
          <a:avLst/>
        </a:prstGeom>
        <a:ln w="12700"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u="none" strike="noStrike">
              <a:solidFill>
                <a:schemeClr val="bg1"/>
              </a:solidFill>
              <a:latin typeface="Times New Roman" panose="02020503050405090304" pitchFamily="18" charset="0"/>
              <a:cs typeface="Times New Roman" panose="02020503050405090304" pitchFamily="18" charset="0"/>
            </a:rPr>
            <a:t>283.69 lakh litres</a:t>
          </a:r>
          <a:endParaRPr lang="en-US" sz="1400" u="none" strike="noStrike">
            <a:solidFill>
              <a:schemeClr val="bg1"/>
            </a:solidFill>
            <a:latin typeface="Times New Roman" panose="02020503050405090304" pitchFamily="18" charset="0"/>
            <a:cs typeface="Times New Roman" panose="02020503050405090304" pitchFamily="18" charset="0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u="none" strike="noStrike">
              <a:solidFill>
                <a:schemeClr val="bg1"/>
              </a:solidFill>
              <a:latin typeface="Times New Roman" panose="02020503050405090304" pitchFamily="18" charset="0"/>
              <a:cs typeface="Times New Roman" panose="02020503050405090304" pitchFamily="18" charset="0"/>
            </a:rPr>
            <a:t>Total State Volume/day</a:t>
          </a:r>
          <a:endParaRPr lang="en-US" sz="1400" u="none" strike="noStrike">
            <a:solidFill>
              <a:schemeClr val="bg1"/>
            </a:solidFill>
            <a:latin typeface="Times New Roman" panose="02020503050405090304" pitchFamily="18" charset="0"/>
            <a:cs typeface="Times New Roman" panose="02020503050405090304" pitchFamily="18" charset="0"/>
          </a:endParaRPr>
        </a:p>
      </xdr:txBody>
    </xdr:sp>
    <xdr:clientData/>
  </xdr:twoCellAnchor>
  <xdr:twoCellAnchor>
    <xdr:from>
      <xdr:col>13</xdr:col>
      <xdr:colOff>246380</xdr:colOff>
      <xdr:row>2</xdr:row>
      <xdr:rowOff>227330</xdr:rowOff>
    </xdr:from>
    <xdr:to>
      <xdr:col>16</xdr:col>
      <xdr:colOff>4445</xdr:colOff>
      <xdr:row>7</xdr:row>
      <xdr:rowOff>85725</xdr:rowOff>
    </xdr:to>
    <xdr:sp>
      <xdr:nvSpPr>
        <xdr:cNvPr id="12" name="Rectangle 11"/>
        <xdr:cNvSpPr/>
      </xdr:nvSpPr>
      <xdr:spPr>
        <a:xfrm>
          <a:off x="9756140" y="835660"/>
          <a:ext cx="1952625" cy="940435"/>
        </a:xfrm>
        <a:prstGeom prst="rect">
          <a:avLst/>
        </a:prstGeom>
        <a:ln w="12700"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u="none" strike="noStrike">
              <a:solidFill>
                <a:schemeClr val="bg1"/>
              </a:solidFill>
              <a:latin typeface="Times New Roman" panose="02020503050405090304" pitchFamily="18" charset="0"/>
              <a:cs typeface="Times New Roman" panose="02020503050405090304" pitchFamily="18" charset="0"/>
            </a:rPr>
            <a:t>56.6% Pune</a:t>
          </a:r>
          <a:endParaRPr lang="en-US" sz="1400">
            <a:solidFill>
              <a:schemeClr val="bg1"/>
            </a:solidFill>
            <a:latin typeface="Times New Roman" panose="02020503050405090304" pitchFamily="18" charset="0"/>
            <a:cs typeface="Times New Roman" panose="02020503050405090304" pitchFamily="18" charset="0"/>
          </a:endParaRPr>
        </a:p>
        <a:p>
          <a:pPr marL="0" indent="0" algn="ctr"/>
          <a:r>
            <a:rPr lang="en-US" sz="1400">
              <a:solidFill>
                <a:schemeClr val="bg1"/>
              </a:solidFill>
              <a:latin typeface="Times New Roman" panose="02020503050405090304" pitchFamily="18" charset="0"/>
              <a:cs typeface="Times New Roman" panose="02020503050405090304" pitchFamily="18" charset="0"/>
            </a:rPr>
            <a:t>Highest Regional Share</a:t>
          </a:r>
          <a:endParaRPr lang="en-US" sz="1400">
            <a:solidFill>
              <a:schemeClr val="bg1"/>
            </a:solidFill>
            <a:latin typeface="Times New Roman" panose="02020503050405090304" pitchFamily="18" charset="0"/>
            <a:cs typeface="Times New Roman" panose="02020503050405090304" pitchFamily="18" charset="0"/>
          </a:endParaRPr>
        </a:p>
      </xdr:txBody>
    </xdr:sp>
    <xdr:clientData/>
  </xdr:twoCellAnchor>
  <xdr:twoCellAnchor>
    <xdr:from>
      <xdr:col>16</xdr:col>
      <xdr:colOff>9525</xdr:colOff>
      <xdr:row>3</xdr:row>
      <xdr:rowOff>0</xdr:rowOff>
    </xdr:from>
    <xdr:to>
      <xdr:col>19</xdr:col>
      <xdr:colOff>9525</xdr:colOff>
      <xdr:row>7</xdr:row>
      <xdr:rowOff>85725</xdr:rowOff>
    </xdr:to>
    <xdr:sp>
      <xdr:nvSpPr>
        <xdr:cNvPr id="13" name="Rectangle 12"/>
        <xdr:cNvSpPr/>
      </xdr:nvSpPr>
      <xdr:spPr>
        <a:xfrm>
          <a:off x="11713845" y="836930"/>
          <a:ext cx="2194560" cy="939165"/>
        </a:xfrm>
        <a:prstGeom prst="rect">
          <a:avLst/>
        </a:prstGeom>
        <a:ln w="12700"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Times New Roman" panose="02020503050405090304" pitchFamily="18" charset="0"/>
              <a:cs typeface="Times New Roman" panose="02020503050405090304" pitchFamily="18" charset="0"/>
            </a:rPr>
            <a:t>76.70% Private</a:t>
          </a:r>
          <a:endParaRPr lang="en-US" sz="1400" b="1">
            <a:solidFill>
              <a:schemeClr val="lt1"/>
            </a:solidFill>
            <a:latin typeface="Times New Roman" panose="02020503050405090304" pitchFamily="18" charset="0"/>
            <a:cs typeface="Times New Roman" panose="02020503050405090304" pitchFamily="18" charset="0"/>
          </a:endParaRPr>
        </a:p>
        <a:p>
          <a:pPr marL="0" indent="0" algn="ctr"/>
          <a:r>
            <a:rPr lang="en-US" sz="1400">
              <a:solidFill>
                <a:schemeClr val="lt1"/>
              </a:solidFill>
              <a:latin typeface="Times New Roman" panose="02020503050405090304" pitchFamily="18" charset="0"/>
              <a:cs typeface="Times New Roman" panose="02020503050405090304" pitchFamily="18" charset="0"/>
            </a:rPr>
            <a:t>Maharashtra's dairy procurement Sector</a:t>
          </a:r>
          <a:endParaRPr lang="en-US" sz="1400">
            <a:solidFill>
              <a:schemeClr val="lt1"/>
            </a:solidFill>
            <a:latin typeface="Times New Roman" panose="02020503050405090304" pitchFamily="18" charset="0"/>
            <a:cs typeface="Times New Roman" panose="02020503050405090304" pitchFamily="18" charset="0"/>
          </a:endParaRPr>
        </a:p>
      </xdr:txBody>
    </xdr:sp>
    <xdr:clientData/>
  </xdr:twoCellAnchor>
  <xdr:twoCellAnchor>
    <xdr:from>
      <xdr:col>10</xdr:col>
      <xdr:colOff>390525</xdr:colOff>
      <xdr:row>7</xdr:row>
      <xdr:rowOff>131445</xdr:rowOff>
    </xdr:from>
    <xdr:to>
      <xdr:col>19</xdr:col>
      <xdr:colOff>0</xdr:colOff>
      <xdr:row>20</xdr:row>
      <xdr:rowOff>198120</xdr:rowOff>
    </xdr:to>
    <xdr:graphicFrame>
      <xdr:nvGraphicFramePr>
        <xdr:cNvPr id="15" name="Chart 14"/>
        <xdr:cNvGraphicFramePr/>
      </xdr:nvGraphicFramePr>
      <xdr:xfrm>
        <a:off x="7705725" y="1821815"/>
        <a:ext cx="6193155" cy="2840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624840</xdr:colOff>
      <xdr:row>13</xdr:row>
      <xdr:rowOff>198120</xdr:rowOff>
    </xdr:from>
    <xdr:to>
      <xdr:col>15</xdr:col>
      <xdr:colOff>474345</xdr:colOff>
      <xdr:row>15</xdr:row>
      <xdr:rowOff>70485</xdr:rowOff>
    </xdr:to>
    <xdr:sp>
      <xdr:nvSpPr>
        <xdr:cNvPr id="8" name="TextBox 7"/>
        <xdr:cNvSpPr txBox="1"/>
      </xdr:nvSpPr>
      <xdr:spPr>
        <a:xfrm>
          <a:off x="9403080" y="3168650"/>
          <a:ext cx="2044065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0% - fully import-dependent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247650</xdr:colOff>
      <xdr:row>14</xdr:row>
      <xdr:rowOff>123825</xdr:rowOff>
    </xdr:from>
    <xdr:to>
      <xdr:col>12</xdr:col>
      <xdr:colOff>590550</xdr:colOff>
      <xdr:row>14</xdr:row>
      <xdr:rowOff>133350</xdr:rowOff>
    </xdr:to>
    <xdr:cxnSp>
      <xdr:nvCxnSpPr>
        <xdr:cNvPr id="9" name="Straight Connector 8"/>
        <xdr:cNvCxnSpPr/>
      </xdr:nvCxnSpPr>
      <xdr:spPr>
        <a:xfrm flipH="1" flipV="1">
          <a:off x="9025890" y="3307715"/>
          <a:ext cx="342900" cy="9525"/>
        </a:xfrm>
        <a:prstGeom prst="line">
          <a:avLst/>
        </a:prstGeom>
        <a:ln>
          <a:solidFill>
            <a:srgbClr val="0070B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34.5796626157" refreshedBy="Excel Services" recordCount="33">
  <cacheSource type="worksheet">
    <worksheetSource ref="A1:AP34" sheet="District_Data"/>
  </cacheSource>
  <cacheFields count="42">
    <cacheField name="DIST" numFmtId="0">
      <sharedItems count="33">
        <s v="Pune"/>
        <s v="Sangli"/>
        <s v="Satara"/>
        <s v="Solapur"/>
        <s v="Kolhapur"/>
        <s v="Ahmednagar"/>
        <s v="Nasik"/>
        <s v="Jalgaon"/>
        <s v="Dhule"/>
        <s v="Nandurbar"/>
        <s v="Aurangabad"/>
        <s v="Jalna"/>
        <s v="Beed"/>
        <s v="Parbhani"/>
        <s v="Hingoli"/>
        <s v="Nanded"/>
        <s v="Dharashiv"/>
        <s v="Latur"/>
        <s v="Thane"/>
        <s v="Raigad"/>
        <s v="Ratnagiri"/>
        <s v="Sindhudurg"/>
        <s v="Amravati"/>
        <s v="Akola"/>
        <s v="Washim"/>
        <s v="Buldhna"/>
        <s v="Yavatmal"/>
        <s v="Nagpur"/>
        <s v="Wardha"/>
        <s v="Bhandara"/>
        <s v="Gondia"/>
        <s v="Chandrpur"/>
        <s v="Gadchiroli"/>
      </sharedItems>
    </cacheField>
    <cacheField name="Basic Procurement Govt" numFmtId="0">
      <sharedItems containsSemiMixedTypes="0" containsString="0" containsNumber="1" containsInteger="1" minValue="0" maxValue="0" count="1">
        <n v="0"/>
      </sharedItems>
    </cacheField>
    <cacheField name="Basic Procurement Co.op" numFmtId="0">
      <sharedItems containsSemiMixedTypes="0" containsString="0" containsNumber="1" minValue="0" maxValue="14.12" count="19">
        <n v="5.8"/>
        <n v="4.17"/>
        <n v="0.97"/>
        <n v="1.61"/>
        <n v="14.12"/>
        <n v="5.95"/>
        <n v="0.55"/>
        <n v="2.28"/>
        <n v="0.1"/>
        <n v="0"/>
        <n v="0.59"/>
        <n v="0.01"/>
        <n v="1.29"/>
        <n v="0.04"/>
        <n v="0.15"/>
        <n v="0.16"/>
        <n v="0.06"/>
        <n v="0.02"/>
        <n v="0.3"/>
      </sharedItems>
    </cacheField>
    <cacheField name="Basic Procurement Pvt" numFmtId="0"/>
    <cacheField name="Total Procurement" numFmtId="0"/>
    <cacheField name="Interstate Recipet Govt" numFmtId="0"/>
    <cacheField name="Interstate Recipet Co.op" numFmtId="0"/>
    <cacheField name="Interstate Recipet Pvt" numFmtId="0"/>
    <cacheField name="Interstate Recipet Total" numFmtId="0"/>
    <cacheField name="Outerstate Receipt Govt" numFmtId="0"/>
    <cacheField name="Outerstate Receipt Co.op" numFmtId="0"/>
    <cacheField name="Outerstate Receipt Pvt" numFmtId="0"/>
    <cacheField name="Outerstate Receipt Total " numFmtId="0"/>
    <cacheField name="Total Procurement &amp; Receipt" numFmtId="0"/>
    <cacheField name="Govt Pouch Sale" numFmtId="0"/>
    <cacheField name="Co.op Pouch Sale" numFmtId="0"/>
    <cacheField name="Pvt Pouch Sale" numFmtId="0"/>
    <cacheField name="Total Pouch Sale" numFmtId="0"/>
    <cacheField name="Govt Retail Sale" numFmtId="0"/>
    <cacheField name="Co.op Retail Sale" numFmtId="0"/>
    <cacheField name="Pvt Retail Sale" numFmtId="0"/>
    <cacheField name="Total Retail Sale" numFmtId="0"/>
    <cacheField name="Govt Outerstate Sale" numFmtId="0"/>
    <cacheField name="Co.op Outerstate Sale" numFmtId="0"/>
    <cacheField name="Pvt Outerstate Sale" numFmtId="0"/>
    <cacheField name="Total Outerstate Sale" numFmtId="0"/>
    <cacheField name="Govt Bi-Products" numFmtId="0"/>
    <cacheField name="Co.op Bi-Products" numFmtId="0"/>
    <cacheField name="Pvt Bi-Products" numFmtId="0"/>
    <cacheField name="Total Bi-Products" numFmtId="0"/>
    <cacheField name="Govt Conversion" numFmtId="0"/>
    <cacheField name="Co.op Conversion" numFmtId="0"/>
    <cacheField name="Pvt Conversion" numFmtId="0"/>
    <cacheField name="Total Conversion" numFmtId="0"/>
    <cacheField name="Mahanand" numFmtId="0"/>
    <cacheField name="Co.Op to Mahanand" numFmtId="0"/>
    <cacheField name="calc_total_procurement" numFmtId="0"/>
    <cacheField name="Self_Sufficiency_Ratio" numFmtId="0"/>
    <cacheField name="Total Sale" numFmtId="0"/>
    <cacheField name="Procurement_to_Sale_Ratio" numFmtId="0"/>
    <cacheField name="Volume_Tier" numFmtId="0"/>
    <cacheField name="Division" numFmtId="0">
      <sharedItems count="6">
        <s v="Pune"/>
        <s v="Nashik"/>
        <s v="Aurangabad"/>
        <s v="Konkan"/>
        <s v="Amravati"/>
        <s v="Nagpu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34.6923298611" refreshedBy="Excel Services" recordCount="34">
  <cacheSource type="worksheet">
    <worksheetSource ref="A1:AP1048576" sheet="District_Data"/>
  </cacheSource>
  <cacheFields count="42">
    <cacheField name="DIST" numFmtId="0"/>
    <cacheField name="Basic Procurement Govt" numFmtId="0"/>
    <cacheField name="Basic Procurement Co.op" numFmtId="0"/>
    <cacheField name="Basic Procurement Pvt" numFmtId="0"/>
    <cacheField name="Total Procurement" numFmtId="0"/>
    <cacheField name="Interstate Recipet Govt" numFmtId="0"/>
    <cacheField name="Interstate Recipet Co.op" numFmtId="0"/>
    <cacheField name="Interstate Recipet Pvt" numFmtId="0"/>
    <cacheField name="Interstate Recipet Total" numFmtId="0"/>
    <cacheField name="Outerstate Receipt Govt" numFmtId="0"/>
    <cacheField name="Outerstate Receipt Co.op" numFmtId="0"/>
    <cacheField name="Outerstate Receipt Pvt" numFmtId="0"/>
    <cacheField name="Outerstate Receipt Total " numFmtId="0"/>
    <cacheField name="Total Procurement &amp; Receipt" numFmtId="0"/>
    <cacheField name="Govt Pouch Sale" numFmtId="0"/>
    <cacheField name="Co.op Pouch Sale" numFmtId="0"/>
    <cacheField name="Pvt Pouch Sale" numFmtId="0"/>
    <cacheField name="Total Pouch Sale" numFmtId="0"/>
    <cacheField name="Govt Retail Sale" numFmtId="0"/>
    <cacheField name="Co.op Retail Sale" numFmtId="0"/>
    <cacheField name="Pvt Retail Sale" numFmtId="0"/>
    <cacheField name="Total Retail Sale" numFmtId="0"/>
    <cacheField name="Govt Outerstate Sale" numFmtId="0"/>
    <cacheField name="Co.op Outerstate Sale" numFmtId="0"/>
    <cacheField name="Pvt Outerstate Sale" numFmtId="0"/>
    <cacheField name="Total Outerstate Sale" numFmtId="0"/>
    <cacheField name="Govt Bi-Products" numFmtId="0"/>
    <cacheField name="Co.op Bi-Products" numFmtId="0"/>
    <cacheField name="Pvt Bi-Products" numFmtId="0"/>
    <cacheField name="Total Bi-Products" numFmtId="0"/>
    <cacheField name="Govt Conversion" numFmtId="0"/>
    <cacheField name="Co.op Conversion" numFmtId="0"/>
    <cacheField name="Pvt Conversion" numFmtId="0"/>
    <cacheField name="Total Conversion" numFmtId="0"/>
    <cacheField name="Mahanand" numFmtId="0"/>
    <cacheField name="Co.Op to Mahanand" numFmtId="0"/>
    <cacheField name="calc_total_procurement" numFmtId="0"/>
    <cacheField name="Self_Sufficiency_Ratio" numFmtId="0"/>
    <cacheField name="Total Sale" numFmtId="0"/>
    <cacheField name="Procurement_to_Sale_Ratio" numFmtId="0"/>
    <cacheField name="Volume_Tier" numFmtId="0"/>
    <cacheField name="Division" numFmtId="0">
      <sharedItems containsBlank="1" count="7">
        <s v="Pune"/>
        <s v="Nashik"/>
        <s v="Aurangabad"/>
        <s v="Konkan"/>
        <s v="Amravati"/>
        <s v="Nagpur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n v="23.62"/>
    <n v="29.41"/>
    <n v="0"/>
    <n v="0"/>
    <n v="57.3"/>
    <n v="57.3"/>
    <n v="0"/>
    <n v="0"/>
    <n v="0.68"/>
    <n v="0.68"/>
    <n v="87.39"/>
    <n v="0"/>
    <n v="1.35"/>
    <n v="11.6"/>
    <n v="12.95"/>
    <n v="0"/>
    <n v="3.97"/>
    <n v="7.09"/>
    <n v="11.06"/>
    <n v="0"/>
    <n v="0"/>
    <n v="1.37"/>
    <n v="1.37"/>
    <n v="0"/>
    <n v="0.04"/>
    <n v="26.64"/>
    <n v="26.68"/>
    <n v="0"/>
    <n v="0"/>
    <n v="34.799999999999997"/>
    <n v="34.799999999999997"/>
    <n v="0"/>
    <n v="0.45"/>
    <n v="29.42"/>
    <n v="0.33700000000000002"/>
    <n v="25.38"/>
    <n v="0.99399999999999999"/>
    <s v="High Volume (10+ lakh)"/>
    <x v="0"/>
  </r>
  <r>
    <x v="1"/>
    <x v="0"/>
    <x v="1"/>
    <n v="10.67"/>
    <n v="14.84"/>
    <n v="0"/>
    <n v="0.15"/>
    <n v="0"/>
    <n v="0.15"/>
    <n v="0"/>
    <n v="0"/>
    <n v="0.42"/>
    <n v="0.42"/>
    <n v="15.4"/>
    <n v="0"/>
    <n v="0.93"/>
    <n v="4.96"/>
    <n v="5.89"/>
    <n v="0"/>
    <n v="2.4900000000000002"/>
    <n v="3.67"/>
    <n v="6.16"/>
    <n v="0"/>
    <n v="0.05"/>
    <n v="0"/>
    <n v="0.06"/>
    <n v="0"/>
    <n v="0.15"/>
    <n v="0.51"/>
    <n v="0.65"/>
    <n v="0"/>
    <n v="0.64"/>
    <n v="1.95"/>
    <n v="2.59"/>
    <n v="0"/>
    <n v="0.05"/>
    <n v="14.84"/>
    <n v="0.96399999999999997"/>
    <n v="12.11"/>
    <n v="0.997"/>
    <s v="High Volume (10+ lakh)"/>
    <x v="0"/>
  </r>
  <r>
    <x v="2"/>
    <x v="0"/>
    <x v="2"/>
    <n v="15.34"/>
    <n v="16.309999999999999"/>
    <n v="0"/>
    <n v="0.15"/>
    <n v="3.82"/>
    <n v="3.97"/>
    <n v="0"/>
    <n v="0"/>
    <n v="0"/>
    <n v="0"/>
    <n v="20.27"/>
    <n v="0"/>
    <n v="0.45"/>
    <n v="2.42"/>
    <n v="2.87"/>
    <n v="0"/>
    <n v="0.59"/>
    <n v="9.7100000000000009"/>
    <n v="10.3"/>
    <n v="0"/>
    <n v="0"/>
    <n v="1.08"/>
    <n v="1.08"/>
    <n v="0"/>
    <n v="0.04"/>
    <n v="2.2000000000000002"/>
    <n v="2.2400000000000002"/>
    <n v="0"/>
    <n v="0"/>
    <n v="3.82"/>
    <n v="3.82"/>
    <n v="0"/>
    <n v="0.03"/>
    <n v="16.309999999999999"/>
    <n v="0.80500000000000005"/>
    <n v="14.25"/>
    <n v="1.002"/>
    <s v="High Volume (10+ lakh)"/>
    <x v="0"/>
  </r>
  <r>
    <x v="3"/>
    <x v="0"/>
    <x v="3"/>
    <n v="12.7"/>
    <n v="14.31"/>
    <n v="0"/>
    <n v="0.75"/>
    <n v="0"/>
    <n v="0.75"/>
    <n v="0"/>
    <n v="1.54"/>
    <n v="0"/>
    <n v="1.54"/>
    <n v="16.600000000000001"/>
    <n v="0"/>
    <n v="0.3"/>
    <n v="0.25"/>
    <n v="0.55000000000000004"/>
    <n v="0"/>
    <n v="0.43"/>
    <n v="9.2200000000000006"/>
    <n v="9.65"/>
    <n v="0"/>
    <n v="0"/>
    <n v="3.2"/>
    <n v="3.2"/>
    <n v="0"/>
    <n v="0.16"/>
    <n v="0.03"/>
    <n v="0.19"/>
    <n v="0"/>
    <n v="2.87"/>
    <n v="0"/>
    <n v="2.87"/>
    <n v="0"/>
    <n v="0"/>
    <n v="14.31"/>
    <n v="0.86199999999999999"/>
    <n v="13.4"/>
    <n v="0.99199999999999999"/>
    <s v="High Volume (10+ lakh)"/>
    <x v="0"/>
  </r>
  <r>
    <x v="4"/>
    <x v="0"/>
    <x v="4"/>
    <n v="0.79"/>
    <n v="14.91"/>
    <n v="0"/>
    <n v="2.17"/>
    <n v="0.89"/>
    <n v="3.06"/>
    <n v="0"/>
    <n v="1.88"/>
    <n v="0.4"/>
    <n v="2.2799999999999998"/>
    <n v="20.239999999999998"/>
    <n v="0"/>
    <n v="17.03"/>
    <n v="0.89"/>
    <n v="17.920000000000002"/>
    <n v="0"/>
    <n v="0.47"/>
    <n v="0.4"/>
    <n v="0.86"/>
    <n v="0"/>
    <n v="0.1"/>
    <n v="0.21"/>
    <n v="0.31"/>
    <n v="0"/>
    <n v="0.33"/>
    <n v="0.45"/>
    <n v="0.78"/>
    <n v="0"/>
    <n v="0.87"/>
    <n v="0.7"/>
    <n v="1.57"/>
    <n v="0"/>
    <n v="0"/>
    <n v="14.91"/>
    <n v="0.73699999999999999"/>
    <n v="19.09"/>
    <n v="1.0589999999999999"/>
    <s v="High Volume (10+ lakh)"/>
    <x v="0"/>
  </r>
  <r>
    <x v="5"/>
    <x v="0"/>
    <x v="5"/>
    <n v="31.35"/>
    <n v="37.299999999999997"/>
    <n v="0"/>
    <n v="1.21"/>
    <n v="1.32"/>
    <n v="2.5299999999999998"/>
    <n v="0"/>
    <n v="0"/>
    <n v="0"/>
    <n v="0"/>
    <n v="39.83"/>
    <n v="0"/>
    <n v="1.92"/>
    <n v="3.04"/>
    <n v="4.96"/>
    <n v="0"/>
    <n v="2.0299999999999998"/>
    <n v="20.22"/>
    <n v="22.25"/>
    <n v="0"/>
    <n v="0.64"/>
    <n v="0"/>
    <n v="0.64"/>
    <n v="0"/>
    <n v="0.32"/>
    <n v="1.72"/>
    <n v="2.04"/>
    <n v="0"/>
    <n v="1.23"/>
    <n v="7.7"/>
    <n v="8.93"/>
    <n v="0"/>
    <n v="0"/>
    <n v="37.299999999999997"/>
    <n v="0.93600000000000005"/>
    <n v="27.85"/>
    <n v="0.97499999999999998"/>
    <s v="High Volume (10+ lakh)"/>
    <x v="1"/>
  </r>
  <r>
    <x v="6"/>
    <x v="0"/>
    <x v="6"/>
    <n v="6.86"/>
    <n v="7.41"/>
    <n v="0"/>
    <n v="0.16"/>
    <n v="1.29"/>
    <n v="1.45"/>
    <n v="0"/>
    <n v="0"/>
    <n v="0"/>
    <n v="0"/>
    <n v="8.86"/>
    <n v="0"/>
    <n v="0.08"/>
    <n v="0.54"/>
    <n v="0.62"/>
    <n v="0"/>
    <n v="0.17"/>
    <n v="3.72"/>
    <n v="3.89"/>
    <n v="0"/>
    <n v="0.46"/>
    <n v="2.0299999999999998"/>
    <n v="2.4900000000000002"/>
    <n v="0"/>
    <n v="0"/>
    <n v="0.15"/>
    <n v="0.15"/>
    <n v="0"/>
    <n v="0"/>
    <n v="1.67"/>
    <n v="1.67"/>
    <n v="0"/>
    <n v="0"/>
    <n v="7.41"/>
    <n v="0.83599999999999997"/>
    <n v="7"/>
    <n v="0.995"/>
    <s v="Mid Volume (1-10 lakh)"/>
    <x v="1"/>
  </r>
  <r>
    <x v="7"/>
    <x v="0"/>
    <x v="7"/>
    <n v="0.76"/>
    <n v="3.04"/>
    <n v="0"/>
    <n v="0"/>
    <n v="0.74"/>
    <n v="0.74"/>
    <n v="0"/>
    <n v="0"/>
    <n v="0"/>
    <n v="0"/>
    <n v="3.78"/>
    <n v="0"/>
    <n v="1.02"/>
    <n v="0.81"/>
    <n v="1.83"/>
    <n v="0"/>
    <n v="0"/>
    <n v="0.32"/>
    <n v="0.32"/>
    <n v="0"/>
    <n v="0.16"/>
    <n v="0.18"/>
    <n v="0.34"/>
    <n v="0"/>
    <n v="0.05"/>
    <n v="0.19"/>
    <n v="0.24"/>
    <n v="0"/>
    <n v="0.84"/>
    <n v="0"/>
    <n v="0.84"/>
    <n v="0"/>
    <n v="0"/>
    <n v="3.04"/>
    <n v="0.80400000000000005"/>
    <n v="2.4900000000000002"/>
    <n v="0.94399999999999995"/>
    <s v="Mid Volume (1-10 lakh)"/>
    <x v="1"/>
  </r>
  <r>
    <x v="8"/>
    <x v="0"/>
    <x v="8"/>
    <n v="1.25"/>
    <n v="1.35"/>
    <n v="0"/>
    <n v="0"/>
    <n v="2.17"/>
    <n v="2.17"/>
    <n v="0"/>
    <n v="0"/>
    <n v="0"/>
    <n v="0"/>
    <n v="3.52"/>
    <n v="0"/>
    <n v="0"/>
    <n v="0.16"/>
    <n v="0.16"/>
    <n v="0"/>
    <n v="0.05"/>
    <n v="2.9"/>
    <n v="2.95"/>
    <n v="0"/>
    <n v="0.05"/>
    <n v="0.36"/>
    <n v="0.41"/>
    <n v="0"/>
    <n v="0"/>
    <n v="0"/>
    <n v="0"/>
    <n v="0"/>
    <n v="0"/>
    <n v="0"/>
    <n v="0"/>
    <n v="0"/>
    <n v="0"/>
    <n v="1.35"/>
    <n v="0.38400000000000001"/>
    <n v="3.52"/>
    <n v="1"/>
    <s v="Mid Volume (1-10 lakh)"/>
    <x v="1"/>
  </r>
  <r>
    <x v="9"/>
    <x v="0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s v="Low Volume (&lt;1 lakh)"/>
    <x v="1"/>
  </r>
  <r>
    <x v="10"/>
    <x v="0"/>
    <x v="10"/>
    <n v="4.84"/>
    <n v="5.43"/>
    <n v="0"/>
    <n v="0"/>
    <n v="0"/>
    <n v="0"/>
    <n v="0"/>
    <n v="0"/>
    <n v="0"/>
    <n v="0"/>
    <n v="5.43"/>
    <n v="0"/>
    <n v="0.3"/>
    <n v="0.1"/>
    <n v="0.4"/>
    <n v="0"/>
    <n v="0.26"/>
    <n v="4.72"/>
    <n v="4.9800000000000004"/>
    <n v="0"/>
    <n v="0"/>
    <n v="0"/>
    <n v="0"/>
    <n v="0"/>
    <n v="0.03"/>
    <n v="0.03"/>
    <n v="0.06"/>
    <n v="0"/>
    <n v="0"/>
    <n v="0"/>
    <n v="0"/>
    <n v="0"/>
    <n v="0.25"/>
    <n v="5.43"/>
    <n v="1"/>
    <n v="5.3800000000000008"/>
    <n v="1.002"/>
    <s v="Mid Volume (1-10 lakh)"/>
    <x v="2"/>
  </r>
  <r>
    <x v="11"/>
    <x v="0"/>
    <x v="11"/>
    <n v="0.48"/>
    <n v="0.49"/>
    <n v="0"/>
    <n v="0"/>
    <n v="0"/>
    <n v="0"/>
    <n v="0"/>
    <n v="0"/>
    <n v="0"/>
    <n v="0"/>
    <n v="0.49"/>
    <n v="0"/>
    <n v="0"/>
    <n v="0.02"/>
    <n v="0.02"/>
    <n v="0"/>
    <n v="0.01"/>
    <n v="0.46"/>
    <n v="0.47"/>
    <n v="0"/>
    <n v="0"/>
    <n v="0"/>
    <n v="0"/>
    <n v="0"/>
    <n v="0"/>
    <n v="0"/>
    <n v="0"/>
    <n v="0"/>
    <n v="0"/>
    <n v="0"/>
    <n v="0"/>
    <n v="0"/>
    <n v="0"/>
    <n v="0.49"/>
    <n v="1"/>
    <n v="0.49"/>
    <n v="1"/>
    <s v="Low Volume (&lt;1 lakh)"/>
    <x v="2"/>
  </r>
  <r>
    <x v="12"/>
    <x v="0"/>
    <x v="12"/>
    <n v="1.57"/>
    <n v="2.86"/>
    <n v="0"/>
    <n v="0"/>
    <n v="0"/>
    <n v="0"/>
    <n v="0"/>
    <n v="0"/>
    <n v="0"/>
    <n v="0"/>
    <n v="2.86"/>
    <n v="0"/>
    <n v="0.01"/>
    <n v="0.1"/>
    <n v="0.11"/>
    <n v="0"/>
    <n v="1.21"/>
    <n v="0.46"/>
    <n v="1.68"/>
    <n v="0"/>
    <n v="0.06"/>
    <n v="1"/>
    <n v="1.05"/>
    <n v="0"/>
    <n v="0.01"/>
    <n v="0.01"/>
    <n v="0.02"/>
    <n v="0"/>
    <n v="0"/>
    <n v="0"/>
    <n v="0"/>
    <n v="0"/>
    <n v="0.21"/>
    <n v="2.86"/>
    <n v="1"/>
    <n v="2.84"/>
    <n v="1"/>
    <s v="Mid Volume (1-10 lakh)"/>
    <x v="2"/>
  </r>
  <r>
    <x v="13"/>
    <x v="0"/>
    <x v="9"/>
    <n v="0.15"/>
    <n v="0.15"/>
    <n v="0"/>
    <n v="0"/>
    <n v="0.01"/>
    <n v="0.01"/>
    <n v="0"/>
    <n v="0"/>
    <n v="0"/>
    <n v="0"/>
    <n v="0.16"/>
    <n v="0"/>
    <n v="0"/>
    <n v="0"/>
    <n v="0"/>
    <n v="0"/>
    <n v="0"/>
    <n v="0.08"/>
    <n v="0.08"/>
    <n v="0"/>
    <n v="0"/>
    <n v="7.0000000000000007E-2"/>
    <n v="7.0000000000000007E-2"/>
    <n v="0"/>
    <n v="0"/>
    <n v="0.02"/>
    <n v="0.02"/>
    <n v="0"/>
    <n v="0"/>
    <n v="0"/>
    <n v="0"/>
    <n v="0"/>
    <n v="0"/>
    <n v="0.15"/>
    <n v="0.93799999999999994"/>
    <n v="0.15"/>
    <n v="1.0620000000000001"/>
    <s v="Low Volume (&lt;1 lakh)"/>
    <x v="2"/>
  </r>
  <r>
    <x v="14"/>
    <x v="0"/>
    <x v="9"/>
    <n v="0.24"/>
    <n v="0.24"/>
    <n v="0"/>
    <n v="0"/>
    <n v="7.0000000000000007E-2"/>
    <n v="7.0000000000000007E-2"/>
    <n v="0"/>
    <n v="0"/>
    <n v="0"/>
    <n v="0"/>
    <n v="0.31"/>
    <n v="0"/>
    <n v="0"/>
    <n v="0"/>
    <n v="0"/>
    <n v="0"/>
    <n v="0"/>
    <n v="0.08"/>
    <n v="0.08"/>
    <n v="0"/>
    <n v="0"/>
    <n v="0.23"/>
    <n v="0.23"/>
    <n v="0"/>
    <n v="0"/>
    <n v="0"/>
    <n v="0"/>
    <n v="0"/>
    <n v="0"/>
    <n v="0"/>
    <n v="0"/>
    <n v="0"/>
    <n v="0"/>
    <n v="0.24"/>
    <n v="0.77400000000000002"/>
    <n v="0.31"/>
    <n v="1"/>
    <s v="Low Volume (&lt;1 lakh)"/>
    <x v="2"/>
  </r>
  <r>
    <x v="15"/>
    <x v="0"/>
    <x v="9"/>
    <n v="0.5"/>
    <n v="0.5"/>
    <n v="0"/>
    <n v="0"/>
    <n v="0"/>
    <n v="0"/>
    <n v="0"/>
    <n v="0"/>
    <n v="0"/>
    <n v="0"/>
    <n v="0.5"/>
    <n v="0"/>
    <n v="0"/>
    <n v="0.08"/>
    <n v="0.08"/>
    <n v="0"/>
    <n v="0"/>
    <n v="0.21"/>
    <n v="0.21"/>
    <n v="0"/>
    <n v="0"/>
    <n v="0.21"/>
    <n v="0.21"/>
    <n v="0"/>
    <n v="0"/>
    <n v="0"/>
    <n v="0"/>
    <n v="0"/>
    <n v="0"/>
    <n v="0"/>
    <n v="0"/>
    <n v="0"/>
    <n v="0"/>
    <n v="0.5"/>
    <n v="1"/>
    <n v="0.5"/>
    <n v="1"/>
    <s v="Low Volume (&lt;1 lakh)"/>
    <x v="2"/>
  </r>
  <r>
    <x v="16"/>
    <x v="0"/>
    <x v="11"/>
    <n v="5.22"/>
    <n v="5.23"/>
    <n v="0"/>
    <n v="0"/>
    <n v="0.34"/>
    <n v="0.34"/>
    <n v="0"/>
    <n v="0"/>
    <n v="0"/>
    <n v="0"/>
    <n v="5.57"/>
    <n v="0"/>
    <n v="0"/>
    <n v="0.71"/>
    <n v="0.71"/>
    <n v="0"/>
    <n v="0.01"/>
    <n v="4.01"/>
    <n v="4.0199999999999996"/>
    <n v="0"/>
    <n v="0"/>
    <n v="0.65"/>
    <n v="0.65"/>
    <n v="0"/>
    <n v="0"/>
    <n v="0.19"/>
    <n v="0.19"/>
    <n v="0"/>
    <n v="0"/>
    <n v="0"/>
    <n v="0"/>
    <n v="0"/>
    <n v="0"/>
    <n v="5.23"/>
    <n v="0.93899999999999995"/>
    <n v="5.38"/>
    <n v="1"/>
    <s v="Mid Volume (1-10 lakh)"/>
    <x v="2"/>
  </r>
  <r>
    <x v="17"/>
    <x v="0"/>
    <x v="13"/>
    <n v="1.24"/>
    <n v="1.28"/>
    <n v="0"/>
    <n v="0"/>
    <n v="0.06"/>
    <n v="0.06"/>
    <n v="0"/>
    <n v="0"/>
    <n v="0"/>
    <n v="0"/>
    <n v="1.33"/>
    <n v="0"/>
    <n v="0"/>
    <n v="0"/>
    <n v="0"/>
    <n v="0"/>
    <n v="0.04"/>
    <n v="0"/>
    <n v="0.04"/>
    <n v="0"/>
    <n v="0"/>
    <n v="1.29"/>
    <n v="1.29"/>
    <n v="0"/>
    <n v="0"/>
    <n v="0"/>
    <n v="0"/>
    <n v="0"/>
    <n v="0"/>
    <n v="0"/>
    <n v="0"/>
    <n v="0"/>
    <n v="0.04"/>
    <n v="1.28"/>
    <n v="0.96199999999999997"/>
    <n v="1.33"/>
    <n v="1"/>
    <s v="Mid Volume (1-10 lakh)"/>
    <x v="2"/>
  </r>
  <r>
    <x v="18"/>
    <x v="0"/>
    <x v="14"/>
    <n v="0"/>
    <n v="0.15"/>
    <n v="0"/>
    <n v="15.09"/>
    <n v="5.13"/>
    <n v="20.22"/>
    <n v="0"/>
    <n v="8.42"/>
    <n v="1.42"/>
    <n v="9.84"/>
    <n v="30.21"/>
    <n v="0"/>
    <n v="22.02"/>
    <n v="6.09"/>
    <n v="28.11"/>
    <n v="0"/>
    <n v="0"/>
    <n v="0"/>
    <n v="0"/>
    <n v="0"/>
    <n v="0"/>
    <n v="0.17"/>
    <n v="0.17"/>
    <n v="0"/>
    <n v="1.64"/>
    <n v="0.28999999999999998"/>
    <n v="1.93"/>
    <n v="0"/>
    <n v="0"/>
    <n v="0"/>
    <n v="0"/>
    <n v="0"/>
    <n v="0"/>
    <n v="0.15"/>
    <n v="5.0000000000000001E-3"/>
    <n v="28.28"/>
    <n v="1"/>
    <s v="High Volume (10+ lakh)"/>
    <x v="3"/>
  </r>
  <r>
    <x v="19"/>
    <x v="0"/>
    <x v="9"/>
    <n v="0"/>
    <n v="0"/>
    <n v="0"/>
    <n v="4.74"/>
    <n v="0"/>
    <n v="4.74"/>
    <n v="0"/>
    <n v="0.37"/>
    <n v="0"/>
    <n v="0.37"/>
    <n v="5.1100000000000003"/>
    <n v="0"/>
    <n v="4.76"/>
    <n v="0"/>
    <n v="4.76"/>
    <n v="0"/>
    <n v="0"/>
    <n v="0"/>
    <n v="0"/>
    <n v="0"/>
    <n v="0"/>
    <n v="0"/>
    <n v="0"/>
    <n v="0"/>
    <n v="0.47"/>
    <n v="0"/>
    <n v="0.47"/>
    <n v="0"/>
    <n v="0"/>
    <n v="0"/>
    <n v="0"/>
    <n v="0"/>
    <n v="0"/>
    <n v="0"/>
    <n v="0"/>
    <n v="4.76"/>
    <n v="1.0229999999999999"/>
    <s v="Mid Volume (1-10 lakh)"/>
    <x v="3"/>
  </r>
  <r>
    <x v="20"/>
    <x v="0"/>
    <x v="8"/>
    <n v="0.31"/>
    <n v="0.41"/>
    <n v="0"/>
    <n v="0"/>
    <n v="0"/>
    <n v="0"/>
    <n v="0"/>
    <n v="0"/>
    <n v="0"/>
    <n v="0"/>
    <n v="0.41"/>
    <n v="0"/>
    <n v="0"/>
    <n v="0.21"/>
    <n v="0.21"/>
    <n v="0"/>
    <n v="0.1"/>
    <n v="0"/>
    <n v="0.1"/>
    <n v="0"/>
    <n v="0"/>
    <n v="0.04"/>
    <n v="0.04"/>
    <n v="0"/>
    <n v="0"/>
    <n v="0.06"/>
    <n v="0.06"/>
    <n v="0"/>
    <n v="0"/>
    <n v="0"/>
    <n v="0"/>
    <n v="0"/>
    <n v="0"/>
    <n v="0.41"/>
    <n v="1"/>
    <n v="0.35"/>
    <n v="1"/>
    <s v="Low Volume (&lt;1 lakh)"/>
    <x v="3"/>
  </r>
  <r>
    <x v="21"/>
    <x v="0"/>
    <x v="15"/>
    <n v="0"/>
    <n v="0.16"/>
    <n v="0"/>
    <n v="0.11"/>
    <n v="0"/>
    <n v="0.11"/>
    <n v="0"/>
    <n v="0"/>
    <n v="0"/>
    <n v="0"/>
    <n v="0.27"/>
    <n v="0"/>
    <n v="0.27"/>
    <n v="0"/>
    <n v="0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"/>
    <n v="0.59299999999999997"/>
    <n v="0.27"/>
    <n v="1"/>
    <s v="Low Volume (&lt;1 lakh)"/>
    <x v="3"/>
  </r>
  <r>
    <x v="22"/>
    <x v="0"/>
    <x v="16"/>
    <n v="0.31"/>
    <n v="0.37"/>
    <n v="0"/>
    <n v="0"/>
    <n v="0"/>
    <n v="0"/>
    <n v="0"/>
    <n v="0"/>
    <n v="0"/>
    <n v="0"/>
    <n v="0.37"/>
    <n v="0"/>
    <n v="0"/>
    <n v="0.09"/>
    <n v="0.09"/>
    <n v="0"/>
    <n v="0.02"/>
    <n v="0.28999999999999998"/>
    <n v="0.31"/>
    <n v="0"/>
    <n v="0"/>
    <n v="0"/>
    <n v="0"/>
    <n v="0"/>
    <n v="0"/>
    <n v="0"/>
    <n v="0"/>
    <n v="0"/>
    <n v="0"/>
    <n v="0"/>
    <n v="0"/>
    <n v="0"/>
    <n v="0"/>
    <n v="0.37"/>
    <n v="1"/>
    <n v="0.4"/>
    <n v="1.081"/>
    <s v="Low Volume (&lt;1 lakh)"/>
    <x v="4"/>
  </r>
  <r>
    <x v="23"/>
    <x v="0"/>
    <x v="9"/>
    <n v="0.4"/>
    <n v="0.4"/>
    <n v="0"/>
    <n v="0"/>
    <n v="0"/>
    <n v="0"/>
    <n v="0"/>
    <n v="0"/>
    <n v="0"/>
    <n v="0"/>
    <n v="0.4"/>
    <n v="0"/>
    <n v="0"/>
    <n v="0.01"/>
    <n v="0.01"/>
    <n v="0"/>
    <n v="0"/>
    <n v="0.05"/>
    <n v="0.05"/>
    <n v="0"/>
    <n v="0"/>
    <n v="0"/>
    <n v="0"/>
    <n v="0"/>
    <n v="0"/>
    <n v="0"/>
    <n v="0"/>
    <n v="0"/>
    <n v="0"/>
    <n v="0"/>
    <n v="0"/>
    <n v="0"/>
    <n v="0"/>
    <n v="0.4"/>
    <n v="1"/>
    <n v="0.06"/>
    <n v="0.15"/>
    <s v="Low Volume (&lt;1 lakh)"/>
    <x v="4"/>
  </r>
  <r>
    <x v="24"/>
    <x v="0"/>
    <x v="9"/>
    <n v="0.45"/>
    <n v="0.45"/>
    <n v="0"/>
    <n v="0"/>
    <n v="0"/>
    <n v="0"/>
    <n v="0"/>
    <n v="0"/>
    <n v="0"/>
    <n v="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5"/>
    <n v="1"/>
    <n v="0"/>
    <n v="0"/>
    <s v="Low Volume (&lt;1 lakh)"/>
    <x v="4"/>
  </r>
  <r>
    <x v="25"/>
    <x v="0"/>
    <x v="17"/>
    <n v="1.24"/>
    <n v="1.26"/>
    <n v="0"/>
    <n v="0"/>
    <n v="0"/>
    <n v="0"/>
    <n v="0"/>
    <n v="0"/>
    <n v="0"/>
    <n v="0"/>
    <n v="1.26"/>
    <n v="0"/>
    <n v="7.0000000000000007E-2"/>
    <n v="0.16"/>
    <n v="0.23"/>
    <n v="0"/>
    <n v="0"/>
    <n v="0.46"/>
    <n v="0.46"/>
    <n v="0"/>
    <n v="0"/>
    <n v="0"/>
    <n v="0"/>
    <n v="0"/>
    <n v="0"/>
    <n v="0"/>
    <n v="0"/>
    <n v="0"/>
    <n v="0"/>
    <n v="0"/>
    <n v="0"/>
    <n v="0"/>
    <n v="0"/>
    <n v="1.26"/>
    <n v="1"/>
    <n v="0.69000000000000006"/>
    <n v="0.54800000000000004"/>
    <s v="Mid Volume (1-10 lakh)"/>
    <x v="4"/>
  </r>
  <r>
    <x v="26"/>
    <x v="0"/>
    <x v="9"/>
    <n v="1.1299999999999999"/>
    <n v="1.1299999999999999"/>
    <n v="0"/>
    <n v="0"/>
    <n v="0"/>
    <n v="0"/>
    <n v="0"/>
    <n v="0"/>
    <n v="0"/>
    <n v="0"/>
    <n v="1.1299999999999999"/>
    <n v="0"/>
    <n v="0"/>
    <n v="0.76"/>
    <n v="0.76"/>
    <n v="0"/>
    <n v="0"/>
    <n v="0.32"/>
    <n v="0.32"/>
    <n v="0"/>
    <n v="0"/>
    <n v="0"/>
    <n v="0"/>
    <n v="0"/>
    <n v="0"/>
    <n v="0"/>
    <n v="0"/>
    <n v="0"/>
    <n v="0"/>
    <n v="0"/>
    <n v="0"/>
    <n v="0"/>
    <n v="0"/>
    <n v="1.1299999999999999"/>
    <n v="1"/>
    <n v="1.08"/>
    <n v="0.95599999999999996"/>
    <s v="Mid Volume (1-10 lakh)"/>
    <x v="4"/>
  </r>
  <r>
    <x v="27"/>
    <x v="0"/>
    <x v="17"/>
    <n v="1.89"/>
    <n v="1.91"/>
    <n v="0"/>
    <n v="0.01"/>
    <n v="3.26"/>
    <n v="3.27"/>
    <n v="0"/>
    <n v="0"/>
    <n v="1.64"/>
    <n v="1.64"/>
    <n v="6.82"/>
    <n v="0"/>
    <n v="0.05"/>
    <n v="2.91"/>
    <n v="2.96"/>
    <n v="0"/>
    <n v="0"/>
    <n v="0.55000000000000004"/>
    <n v="0.55000000000000004"/>
    <n v="0"/>
    <n v="0"/>
    <n v="0.91"/>
    <n v="0.91"/>
    <n v="0"/>
    <n v="0"/>
    <n v="0.26"/>
    <n v="0.26"/>
    <n v="0"/>
    <n v="0"/>
    <n v="0"/>
    <n v="0"/>
    <n v="0"/>
    <n v="0.02"/>
    <n v="1.91"/>
    <n v="0.28000000000000003"/>
    <n v="4.42"/>
    <n v="0.68600000000000005"/>
    <s v="Mid Volume (1-10 lakh)"/>
    <x v="5"/>
  </r>
  <r>
    <x v="28"/>
    <x v="0"/>
    <x v="8"/>
    <n v="1.01"/>
    <n v="1.1100000000000001"/>
    <n v="0"/>
    <n v="0"/>
    <n v="0"/>
    <n v="0"/>
    <n v="0"/>
    <n v="0"/>
    <n v="0"/>
    <n v="0"/>
    <n v="1.1100000000000001"/>
    <n v="0"/>
    <n v="7.0000000000000007E-2"/>
    <n v="0.14000000000000001"/>
    <n v="0.2"/>
    <n v="0"/>
    <n v="0"/>
    <n v="0"/>
    <n v="0"/>
    <n v="0"/>
    <n v="0"/>
    <n v="0"/>
    <n v="0"/>
    <n v="0"/>
    <n v="0.04"/>
    <n v="0"/>
    <n v="0.04"/>
    <n v="0"/>
    <n v="0"/>
    <n v="0"/>
    <n v="0"/>
    <n v="0"/>
    <n v="0"/>
    <n v="1.1100000000000001"/>
    <n v="1"/>
    <n v="0.2"/>
    <n v="0.216"/>
    <s v="Mid Volume (1-10 lakh)"/>
    <x v="5"/>
  </r>
  <r>
    <x v="29"/>
    <x v="0"/>
    <x v="18"/>
    <n v="1.5"/>
    <n v="1.8"/>
    <n v="0"/>
    <n v="0"/>
    <n v="0"/>
    <n v="0"/>
    <n v="0"/>
    <n v="0"/>
    <n v="0"/>
    <n v="0"/>
    <n v="1.8"/>
    <n v="0"/>
    <n v="0.02"/>
    <n v="0.03"/>
    <n v="0.05"/>
    <n v="0"/>
    <n v="0"/>
    <n v="0"/>
    <n v="0"/>
    <n v="0"/>
    <n v="0"/>
    <n v="0"/>
    <n v="0"/>
    <n v="0"/>
    <n v="0.02"/>
    <n v="0"/>
    <n v="0.02"/>
    <n v="0"/>
    <n v="0"/>
    <n v="0"/>
    <n v="0"/>
    <n v="0"/>
    <n v="0"/>
    <n v="1.8"/>
    <n v="1"/>
    <n v="0.05"/>
    <n v="3.9E-2"/>
    <s v="Mid Volume (1-10 lakh)"/>
    <x v="5"/>
  </r>
  <r>
    <x v="30"/>
    <x v="0"/>
    <x v="9"/>
    <n v="0.37"/>
    <n v="0.37"/>
    <n v="0"/>
    <n v="0"/>
    <n v="0"/>
    <n v="0"/>
    <n v="0"/>
    <n v="0"/>
    <n v="0"/>
    <n v="0"/>
    <n v="0.37"/>
    <n v="0"/>
    <n v="0"/>
    <n v="0.02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7"/>
    <n v="1"/>
    <n v="0.02"/>
    <n v="5.3999999999999999E-2"/>
    <s v="Low Volume (&lt;1 lakh)"/>
    <x v="5"/>
  </r>
  <r>
    <x v="31"/>
    <x v="0"/>
    <x v="9"/>
    <n v="0.21"/>
    <n v="0.21"/>
    <n v="0"/>
    <n v="0"/>
    <n v="0"/>
    <n v="0"/>
    <n v="0"/>
    <n v="0"/>
    <n v="0"/>
    <n v="0"/>
    <n v="0.21"/>
    <n v="0"/>
    <n v="0.01"/>
    <n v="0.42"/>
    <n v="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"/>
    <n v="1"/>
    <n v="0.42"/>
    <n v="2"/>
    <s v="Low Volume (&lt;1 lakh)"/>
    <x v="5"/>
  </r>
  <r>
    <x v="32"/>
    <x v="0"/>
    <x v="11"/>
    <n v="0.01"/>
    <n v="0.03"/>
    <n v="0"/>
    <n v="0"/>
    <n v="0"/>
    <n v="0"/>
    <n v="0"/>
    <n v="0"/>
    <n v="0"/>
    <n v="0"/>
    <n v="0.03"/>
    <n v="0"/>
    <n v="0"/>
    <n v="0.04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1"/>
    <n v="0.04"/>
    <n v="1.333"/>
    <s v="Low Volume (&lt;1 lakh)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Pune"/>
    <n v="0"/>
    <n v="5.8"/>
    <n v="23.62"/>
    <n v="29.41"/>
    <n v="0"/>
    <n v="0"/>
    <n v="57.3"/>
    <n v="57.3"/>
    <n v="0"/>
    <n v="0"/>
    <n v="0.68"/>
    <n v="0.68"/>
    <n v="87.39"/>
    <n v="0"/>
    <n v="1.35"/>
    <n v="11.6"/>
    <n v="12.95"/>
    <n v="0"/>
    <n v="3.97"/>
    <n v="7.09"/>
    <n v="11.06"/>
    <n v="0"/>
    <n v="0"/>
    <n v="1.37"/>
    <n v="1.37"/>
    <n v="0"/>
    <n v="0.04"/>
    <n v="26.64"/>
    <n v="26.68"/>
    <n v="0"/>
    <n v="0"/>
    <n v="34.799999999999997"/>
    <n v="34.799999999999997"/>
    <n v="0"/>
    <n v="0.45"/>
    <n v="29.42"/>
    <n v="0.33700000000000002"/>
    <n v="25.38"/>
    <n v="0.99399999999999999"/>
    <s v="High Volume (10+ lakh)"/>
    <x v="0"/>
  </r>
  <r>
    <s v="Sangli"/>
    <n v="0"/>
    <n v="4.17"/>
    <n v="10.67"/>
    <n v="14.84"/>
    <n v="0"/>
    <n v="0.15"/>
    <n v="0"/>
    <n v="0.15"/>
    <n v="0"/>
    <n v="0"/>
    <n v="0.42"/>
    <n v="0.42"/>
    <n v="15.4"/>
    <n v="0"/>
    <n v="0.93"/>
    <n v="4.96"/>
    <n v="5.89"/>
    <n v="0"/>
    <n v="2.4900000000000002"/>
    <n v="3.67"/>
    <n v="6.16"/>
    <n v="0"/>
    <n v="0.05"/>
    <n v="0"/>
    <n v="0.06"/>
    <n v="0"/>
    <n v="0.15"/>
    <n v="0.51"/>
    <n v="0.65"/>
    <n v="0"/>
    <n v="0.64"/>
    <n v="1.95"/>
    <n v="2.59"/>
    <n v="0"/>
    <n v="0.05"/>
    <n v="14.84"/>
    <n v="0.96399999999999997"/>
    <n v="12.11"/>
    <n v="0.997"/>
    <s v="High Volume (10+ lakh)"/>
    <x v="0"/>
  </r>
  <r>
    <s v="Satara"/>
    <n v="0"/>
    <n v="0.97"/>
    <n v="15.34"/>
    <n v="16.309999999999999"/>
    <n v="0"/>
    <n v="0.15"/>
    <n v="3.82"/>
    <n v="3.97"/>
    <n v="0"/>
    <n v="0"/>
    <n v="0"/>
    <n v="0"/>
    <n v="20.27"/>
    <n v="0"/>
    <n v="0.45"/>
    <n v="2.42"/>
    <n v="2.87"/>
    <n v="0"/>
    <n v="0.59"/>
    <n v="9.7100000000000009"/>
    <n v="10.3"/>
    <n v="0"/>
    <n v="0"/>
    <n v="1.08"/>
    <n v="1.08"/>
    <n v="0"/>
    <n v="0.04"/>
    <n v="2.2000000000000002"/>
    <n v="2.2400000000000002"/>
    <n v="0"/>
    <n v="0"/>
    <n v="3.82"/>
    <n v="3.82"/>
    <n v="0"/>
    <n v="0.03"/>
    <n v="16.309999999999999"/>
    <n v="0.80500000000000005"/>
    <n v="14.25"/>
    <n v="1.002"/>
    <s v="High Volume (10+ lakh)"/>
    <x v="0"/>
  </r>
  <r>
    <s v="Solapur"/>
    <n v="0"/>
    <n v="1.61"/>
    <n v="12.7"/>
    <n v="14.31"/>
    <n v="0"/>
    <n v="0.75"/>
    <n v="0"/>
    <n v="0.75"/>
    <n v="0"/>
    <n v="1.54"/>
    <n v="0"/>
    <n v="1.54"/>
    <n v="16.600000000000001"/>
    <n v="0"/>
    <n v="0.3"/>
    <n v="0.25"/>
    <n v="0.55000000000000004"/>
    <n v="0"/>
    <n v="0.43"/>
    <n v="9.2200000000000006"/>
    <n v="9.65"/>
    <n v="0"/>
    <n v="0"/>
    <n v="3.2"/>
    <n v="3.2"/>
    <n v="0"/>
    <n v="0.16"/>
    <n v="0.03"/>
    <n v="0.19"/>
    <n v="0"/>
    <n v="2.87"/>
    <n v="0"/>
    <n v="2.87"/>
    <n v="0"/>
    <n v="0"/>
    <n v="14.31"/>
    <n v="0.86199999999999999"/>
    <n v="13.4"/>
    <n v="0.99199999999999999"/>
    <s v="High Volume (10+ lakh)"/>
    <x v="0"/>
  </r>
  <r>
    <s v="Kolhapur"/>
    <n v="0"/>
    <n v="14.12"/>
    <n v="0.79"/>
    <n v="14.91"/>
    <n v="0"/>
    <n v="2.17"/>
    <n v="0.89"/>
    <n v="3.06"/>
    <n v="0"/>
    <n v="1.88"/>
    <n v="0.4"/>
    <n v="2.2799999999999998"/>
    <n v="20.239999999999998"/>
    <n v="0"/>
    <n v="17.03"/>
    <n v="0.89"/>
    <n v="17.920000000000002"/>
    <n v="0"/>
    <n v="0.47"/>
    <n v="0.4"/>
    <n v="0.86"/>
    <n v="0"/>
    <n v="0.1"/>
    <n v="0.21"/>
    <n v="0.31"/>
    <n v="0"/>
    <n v="0.33"/>
    <n v="0.45"/>
    <n v="0.78"/>
    <n v="0"/>
    <n v="0.87"/>
    <n v="0.7"/>
    <n v="1.57"/>
    <n v="0"/>
    <n v="0"/>
    <n v="14.91"/>
    <n v="0.73699999999999999"/>
    <n v="19.09"/>
    <n v="1.0589999999999999"/>
    <s v="High Volume (10+ lakh)"/>
    <x v="0"/>
  </r>
  <r>
    <s v="Ahmednagar"/>
    <n v="0"/>
    <n v="5.95"/>
    <n v="31.35"/>
    <n v="37.299999999999997"/>
    <n v="0"/>
    <n v="1.21"/>
    <n v="1.32"/>
    <n v="2.5299999999999998"/>
    <n v="0"/>
    <n v="0"/>
    <n v="0"/>
    <n v="0"/>
    <n v="39.83"/>
    <n v="0"/>
    <n v="1.92"/>
    <n v="3.04"/>
    <n v="4.96"/>
    <n v="0"/>
    <n v="2.0299999999999998"/>
    <n v="20.22"/>
    <n v="22.25"/>
    <n v="0"/>
    <n v="0.64"/>
    <n v="0"/>
    <n v="0.64"/>
    <n v="0"/>
    <n v="0.32"/>
    <n v="1.72"/>
    <n v="2.04"/>
    <n v="0"/>
    <n v="1.23"/>
    <n v="7.7"/>
    <n v="8.93"/>
    <n v="0"/>
    <n v="0"/>
    <n v="37.299999999999997"/>
    <n v="0.93600000000000005"/>
    <n v="27.85"/>
    <n v="0.97499999999999998"/>
    <s v="High Volume (10+ lakh)"/>
    <x v="1"/>
  </r>
  <r>
    <s v="Nasik"/>
    <n v="0"/>
    <n v="0.55000000000000004"/>
    <n v="6.86"/>
    <n v="7.41"/>
    <n v="0"/>
    <n v="0.16"/>
    <n v="1.29"/>
    <n v="1.45"/>
    <n v="0"/>
    <n v="0"/>
    <n v="0"/>
    <n v="0"/>
    <n v="8.86"/>
    <n v="0"/>
    <n v="0.08"/>
    <n v="0.54"/>
    <n v="0.62"/>
    <n v="0"/>
    <n v="0.17"/>
    <n v="3.72"/>
    <n v="3.89"/>
    <n v="0"/>
    <n v="0.46"/>
    <n v="2.0299999999999998"/>
    <n v="2.4900000000000002"/>
    <n v="0"/>
    <n v="0"/>
    <n v="0.15"/>
    <n v="0.15"/>
    <n v="0"/>
    <n v="0"/>
    <n v="1.67"/>
    <n v="1.67"/>
    <n v="0"/>
    <n v="0"/>
    <n v="7.41"/>
    <n v="0.83599999999999997"/>
    <n v="7"/>
    <n v="0.995"/>
    <s v="Mid Volume (1-10 lakh)"/>
    <x v="1"/>
  </r>
  <r>
    <s v="Jalgaon"/>
    <n v="0"/>
    <n v="2.2799999999999998"/>
    <n v="0.76"/>
    <n v="3.04"/>
    <n v="0"/>
    <n v="0"/>
    <n v="0.74"/>
    <n v="0.74"/>
    <n v="0"/>
    <n v="0"/>
    <n v="0"/>
    <n v="0"/>
    <n v="3.78"/>
    <n v="0"/>
    <n v="1.02"/>
    <n v="0.81"/>
    <n v="1.83"/>
    <n v="0"/>
    <n v="0"/>
    <n v="0.32"/>
    <n v="0.32"/>
    <n v="0"/>
    <n v="0.16"/>
    <n v="0.18"/>
    <n v="0.34"/>
    <n v="0"/>
    <n v="0.05"/>
    <n v="0.19"/>
    <n v="0.24"/>
    <n v="0"/>
    <n v="0.84"/>
    <n v="0"/>
    <n v="0.84"/>
    <n v="0"/>
    <n v="0"/>
    <n v="3.04"/>
    <n v="0.80400000000000005"/>
    <n v="2.4900000000000002"/>
    <n v="0.94399999999999995"/>
    <s v="Mid Volume (1-10 lakh)"/>
    <x v="1"/>
  </r>
  <r>
    <s v="Dhule"/>
    <n v="0"/>
    <n v="0.1"/>
    <n v="1.25"/>
    <n v="1.35"/>
    <n v="0"/>
    <n v="0"/>
    <n v="2.17"/>
    <n v="2.17"/>
    <n v="0"/>
    <n v="0"/>
    <n v="0"/>
    <n v="0"/>
    <n v="3.52"/>
    <n v="0"/>
    <n v="0"/>
    <n v="0.16"/>
    <n v="0.16"/>
    <n v="0"/>
    <n v="0.05"/>
    <n v="2.9"/>
    <n v="2.95"/>
    <n v="0"/>
    <n v="0.05"/>
    <n v="0.36"/>
    <n v="0.41"/>
    <n v="0"/>
    <n v="0"/>
    <n v="0"/>
    <n v="0"/>
    <n v="0"/>
    <n v="0"/>
    <n v="0"/>
    <n v="0"/>
    <n v="0"/>
    <n v="0"/>
    <n v="1.35"/>
    <n v="0.38400000000000001"/>
    <n v="3.52"/>
    <n v="1"/>
    <s v="Mid Volume (1-10 lakh)"/>
    <x v="1"/>
  </r>
  <r>
    <s v="Nandurb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s v="Low Volume (&lt;1 lakh)"/>
    <x v="1"/>
  </r>
  <r>
    <s v="Aurangabad"/>
    <n v="0"/>
    <n v="0.59"/>
    <n v="4.84"/>
    <n v="5.43"/>
    <n v="0"/>
    <n v="0"/>
    <n v="0"/>
    <n v="0"/>
    <n v="0"/>
    <n v="0"/>
    <n v="0"/>
    <n v="0"/>
    <n v="5.43"/>
    <n v="0"/>
    <n v="0.3"/>
    <n v="0.1"/>
    <n v="0.4"/>
    <n v="0"/>
    <n v="0.26"/>
    <n v="4.72"/>
    <n v="4.9800000000000004"/>
    <n v="0"/>
    <n v="0"/>
    <n v="0"/>
    <n v="0"/>
    <n v="0"/>
    <n v="0.03"/>
    <n v="0.03"/>
    <n v="0.06"/>
    <n v="0"/>
    <n v="0"/>
    <n v="0"/>
    <n v="0"/>
    <n v="0"/>
    <n v="0.25"/>
    <n v="5.43"/>
    <n v="1"/>
    <n v="5.3800000000000008"/>
    <n v="1.002"/>
    <s v="Mid Volume (1-10 lakh)"/>
    <x v="2"/>
  </r>
  <r>
    <s v="Jalna"/>
    <n v="0"/>
    <n v="0.01"/>
    <n v="0.48"/>
    <n v="0.49"/>
    <n v="0"/>
    <n v="0"/>
    <n v="0"/>
    <n v="0"/>
    <n v="0"/>
    <n v="0"/>
    <n v="0"/>
    <n v="0"/>
    <n v="0.49"/>
    <n v="0"/>
    <n v="0"/>
    <n v="0.02"/>
    <n v="0.02"/>
    <n v="0"/>
    <n v="0.01"/>
    <n v="0.46"/>
    <n v="0.47"/>
    <n v="0"/>
    <n v="0"/>
    <n v="0"/>
    <n v="0"/>
    <n v="0"/>
    <n v="0"/>
    <n v="0"/>
    <n v="0"/>
    <n v="0"/>
    <n v="0"/>
    <n v="0"/>
    <n v="0"/>
    <n v="0"/>
    <n v="0"/>
    <n v="0.49"/>
    <n v="1"/>
    <n v="0.49"/>
    <n v="1"/>
    <s v="Low Volume (&lt;1 lakh)"/>
    <x v="2"/>
  </r>
  <r>
    <s v="Beed"/>
    <n v="0"/>
    <n v="1.29"/>
    <n v="1.57"/>
    <n v="2.86"/>
    <n v="0"/>
    <n v="0"/>
    <n v="0"/>
    <n v="0"/>
    <n v="0"/>
    <n v="0"/>
    <n v="0"/>
    <n v="0"/>
    <n v="2.86"/>
    <n v="0"/>
    <n v="0.01"/>
    <n v="0.1"/>
    <n v="0.11"/>
    <n v="0"/>
    <n v="1.21"/>
    <n v="0.46"/>
    <n v="1.68"/>
    <n v="0"/>
    <n v="0.06"/>
    <n v="1"/>
    <n v="1.05"/>
    <n v="0"/>
    <n v="0.01"/>
    <n v="0.01"/>
    <n v="0.02"/>
    <n v="0"/>
    <n v="0"/>
    <n v="0"/>
    <n v="0"/>
    <n v="0"/>
    <n v="0.21"/>
    <n v="2.86"/>
    <n v="1"/>
    <n v="2.84"/>
    <n v="1"/>
    <s v="Mid Volume (1-10 lakh)"/>
    <x v="2"/>
  </r>
  <r>
    <s v="Parbhani"/>
    <n v="0"/>
    <n v="0"/>
    <n v="0.15"/>
    <n v="0.15"/>
    <n v="0"/>
    <n v="0"/>
    <n v="0.01"/>
    <n v="0.01"/>
    <n v="0"/>
    <n v="0"/>
    <n v="0"/>
    <n v="0"/>
    <n v="0.16"/>
    <n v="0"/>
    <n v="0"/>
    <n v="0"/>
    <n v="0"/>
    <n v="0"/>
    <n v="0"/>
    <n v="0.08"/>
    <n v="0.08"/>
    <n v="0"/>
    <n v="0"/>
    <n v="7.0000000000000007E-2"/>
    <n v="7.0000000000000007E-2"/>
    <n v="0"/>
    <n v="0"/>
    <n v="0.02"/>
    <n v="0.02"/>
    <n v="0"/>
    <n v="0"/>
    <n v="0"/>
    <n v="0"/>
    <n v="0"/>
    <n v="0"/>
    <n v="0.15"/>
    <n v="0.93799999999999994"/>
    <n v="0.15"/>
    <n v="1.0620000000000001"/>
    <s v="Low Volume (&lt;1 lakh)"/>
    <x v="2"/>
  </r>
  <r>
    <s v="Hingoli"/>
    <n v="0"/>
    <n v="0"/>
    <n v="0.24"/>
    <n v="0.24"/>
    <n v="0"/>
    <n v="0"/>
    <n v="7.0000000000000007E-2"/>
    <n v="7.0000000000000007E-2"/>
    <n v="0"/>
    <n v="0"/>
    <n v="0"/>
    <n v="0"/>
    <n v="0.31"/>
    <n v="0"/>
    <n v="0"/>
    <n v="0"/>
    <n v="0"/>
    <n v="0"/>
    <n v="0"/>
    <n v="0.08"/>
    <n v="0.08"/>
    <n v="0"/>
    <n v="0"/>
    <n v="0.23"/>
    <n v="0.23"/>
    <n v="0"/>
    <n v="0"/>
    <n v="0"/>
    <n v="0"/>
    <n v="0"/>
    <n v="0"/>
    <n v="0"/>
    <n v="0"/>
    <n v="0"/>
    <n v="0"/>
    <n v="0.24"/>
    <n v="0.77400000000000002"/>
    <n v="0.31"/>
    <n v="1"/>
    <s v="Low Volume (&lt;1 lakh)"/>
    <x v="2"/>
  </r>
  <r>
    <s v="Nanded"/>
    <n v="0"/>
    <n v="0"/>
    <n v="0.5"/>
    <n v="0.5"/>
    <n v="0"/>
    <n v="0"/>
    <n v="0"/>
    <n v="0"/>
    <n v="0"/>
    <n v="0"/>
    <n v="0"/>
    <n v="0"/>
    <n v="0.5"/>
    <n v="0"/>
    <n v="0"/>
    <n v="0.08"/>
    <n v="0.08"/>
    <n v="0"/>
    <n v="0"/>
    <n v="0.21"/>
    <n v="0.21"/>
    <n v="0"/>
    <n v="0"/>
    <n v="0.21"/>
    <n v="0.21"/>
    <n v="0"/>
    <n v="0"/>
    <n v="0"/>
    <n v="0"/>
    <n v="0"/>
    <n v="0"/>
    <n v="0"/>
    <n v="0"/>
    <n v="0"/>
    <n v="0"/>
    <n v="0.5"/>
    <n v="1"/>
    <n v="0.5"/>
    <n v="1"/>
    <s v="Low Volume (&lt;1 lakh)"/>
    <x v="2"/>
  </r>
  <r>
    <s v="Dharashiv"/>
    <n v="0"/>
    <n v="0.01"/>
    <n v="5.22"/>
    <n v="5.23"/>
    <n v="0"/>
    <n v="0"/>
    <n v="0.34"/>
    <n v="0.34"/>
    <n v="0"/>
    <n v="0"/>
    <n v="0"/>
    <n v="0"/>
    <n v="5.57"/>
    <n v="0"/>
    <n v="0"/>
    <n v="0.71"/>
    <n v="0.71"/>
    <n v="0"/>
    <n v="0.01"/>
    <n v="4.01"/>
    <n v="4.0199999999999996"/>
    <n v="0"/>
    <n v="0"/>
    <n v="0.65"/>
    <n v="0.65"/>
    <n v="0"/>
    <n v="0"/>
    <n v="0.19"/>
    <n v="0.19"/>
    <n v="0"/>
    <n v="0"/>
    <n v="0"/>
    <n v="0"/>
    <n v="0"/>
    <n v="0"/>
    <n v="5.23"/>
    <n v="0.93899999999999995"/>
    <n v="5.38"/>
    <n v="1"/>
    <s v="Mid Volume (1-10 lakh)"/>
    <x v="2"/>
  </r>
  <r>
    <s v="Latur"/>
    <n v="0"/>
    <n v="0.04"/>
    <n v="1.24"/>
    <n v="1.28"/>
    <n v="0"/>
    <n v="0"/>
    <n v="0.06"/>
    <n v="0.06"/>
    <n v="0"/>
    <n v="0"/>
    <n v="0"/>
    <n v="0"/>
    <n v="1.33"/>
    <n v="0"/>
    <n v="0"/>
    <n v="0"/>
    <n v="0"/>
    <n v="0"/>
    <n v="0.04"/>
    <n v="0"/>
    <n v="0.04"/>
    <n v="0"/>
    <n v="0"/>
    <n v="1.29"/>
    <n v="1.29"/>
    <n v="0"/>
    <n v="0"/>
    <n v="0"/>
    <n v="0"/>
    <n v="0"/>
    <n v="0"/>
    <n v="0"/>
    <n v="0"/>
    <n v="0"/>
    <n v="0.04"/>
    <n v="1.28"/>
    <n v="0.96199999999999997"/>
    <n v="1.33"/>
    <n v="1"/>
    <s v="Mid Volume (1-10 lakh)"/>
    <x v="2"/>
  </r>
  <r>
    <s v="Thane"/>
    <n v="0"/>
    <n v="0.15"/>
    <n v="0"/>
    <n v="0.15"/>
    <n v="0"/>
    <n v="15.09"/>
    <n v="5.13"/>
    <n v="20.22"/>
    <n v="0"/>
    <n v="8.42"/>
    <n v="1.42"/>
    <n v="9.84"/>
    <n v="30.21"/>
    <n v="0"/>
    <n v="22.02"/>
    <n v="6.09"/>
    <n v="28.11"/>
    <n v="0"/>
    <n v="0"/>
    <n v="0"/>
    <n v="0"/>
    <n v="0"/>
    <n v="0"/>
    <n v="0.17"/>
    <n v="0.17"/>
    <n v="0"/>
    <n v="1.64"/>
    <n v="0.28999999999999998"/>
    <n v="1.93"/>
    <n v="0"/>
    <n v="0"/>
    <n v="0"/>
    <n v="0"/>
    <n v="0"/>
    <n v="0"/>
    <n v="0.15"/>
    <n v="5.0000000000000001E-3"/>
    <n v="28.28"/>
    <n v="1"/>
    <s v="High Volume (10+ lakh)"/>
    <x v="3"/>
  </r>
  <r>
    <s v="Raigad"/>
    <n v="0"/>
    <n v="0"/>
    <n v="0"/>
    <n v="0"/>
    <n v="0"/>
    <n v="4.74"/>
    <n v="0"/>
    <n v="4.74"/>
    <n v="0"/>
    <n v="0.37"/>
    <n v="0"/>
    <n v="0.37"/>
    <n v="5.1100000000000003"/>
    <n v="0"/>
    <n v="4.76"/>
    <n v="0"/>
    <n v="4.76"/>
    <n v="0"/>
    <n v="0"/>
    <n v="0"/>
    <n v="0"/>
    <n v="0"/>
    <n v="0"/>
    <n v="0"/>
    <n v="0"/>
    <n v="0"/>
    <n v="0.47"/>
    <n v="0"/>
    <n v="0.47"/>
    <n v="0"/>
    <n v="0"/>
    <n v="0"/>
    <n v="0"/>
    <n v="0"/>
    <n v="0"/>
    <n v="0"/>
    <n v="0"/>
    <n v="4.76"/>
    <n v="1.0229999999999999"/>
    <s v="Mid Volume (1-10 lakh)"/>
    <x v="3"/>
  </r>
  <r>
    <s v="Ratnagiri"/>
    <n v="0"/>
    <n v="0.1"/>
    <n v="0.31"/>
    <n v="0.41"/>
    <n v="0"/>
    <n v="0"/>
    <n v="0"/>
    <n v="0"/>
    <n v="0"/>
    <n v="0"/>
    <n v="0"/>
    <n v="0"/>
    <n v="0.41"/>
    <n v="0"/>
    <n v="0"/>
    <n v="0.21"/>
    <n v="0.21"/>
    <n v="0"/>
    <n v="0.1"/>
    <n v="0"/>
    <n v="0.1"/>
    <n v="0"/>
    <n v="0"/>
    <n v="0.04"/>
    <n v="0.04"/>
    <n v="0"/>
    <n v="0"/>
    <n v="0.06"/>
    <n v="0.06"/>
    <n v="0"/>
    <n v="0"/>
    <n v="0"/>
    <n v="0"/>
    <n v="0"/>
    <n v="0"/>
    <n v="0.41"/>
    <n v="1"/>
    <n v="0.35"/>
    <n v="1"/>
    <s v="Low Volume (&lt;1 lakh)"/>
    <x v="3"/>
  </r>
  <r>
    <s v="Sindhudurg"/>
    <n v="0"/>
    <n v="0.16"/>
    <n v="0"/>
    <n v="0.16"/>
    <n v="0"/>
    <n v="0.11"/>
    <n v="0"/>
    <n v="0.11"/>
    <n v="0"/>
    <n v="0"/>
    <n v="0"/>
    <n v="0"/>
    <n v="0.27"/>
    <n v="0"/>
    <n v="0.27"/>
    <n v="0"/>
    <n v="0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"/>
    <n v="0.59299999999999997"/>
    <n v="0.27"/>
    <n v="1"/>
    <s v="Low Volume (&lt;1 lakh)"/>
    <x v="3"/>
  </r>
  <r>
    <s v="Amravati"/>
    <n v="0"/>
    <n v="0.06"/>
    <n v="0.31"/>
    <n v="0.37"/>
    <n v="0"/>
    <n v="0"/>
    <n v="0"/>
    <n v="0"/>
    <n v="0"/>
    <n v="0"/>
    <n v="0"/>
    <n v="0"/>
    <n v="0.37"/>
    <n v="0"/>
    <n v="0"/>
    <n v="0.09"/>
    <n v="0.09"/>
    <n v="0"/>
    <n v="0.02"/>
    <n v="0.28999999999999998"/>
    <n v="0.31"/>
    <n v="0"/>
    <n v="0"/>
    <n v="0"/>
    <n v="0"/>
    <n v="0"/>
    <n v="0"/>
    <n v="0"/>
    <n v="0"/>
    <n v="0"/>
    <n v="0"/>
    <n v="0"/>
    <n v="0"/>
    <n v="0"/>
    <n v="0"/>
    <n v="0.37"/>
    <n v="1"/>
    <n v="0.4"/>
    <n v="1.081"/>
    <s v="Low Volume (&lt;1 lakh)"/>
    <x v="4"/>
  </r>
  <r>
    <s v="Akola"/>
    <n v="0"/>
    <n v="0"/>
    <n v="0.4"/>
    <n v="0.4"/>
    <n v="0"/>
    <n v="0"/>
    <n v="0"/>
    <n v="0"/>
    <n v="0"/>
    <n v="0"/>
    <n v="0"/>
    <n v="0"/>
    <n v="0.4"/>
    <n v="0"/>
    <n v="0"/>
    <n v="0.01"/>
    <n v="0.01"/>
    <n v="0"/>
    <n v="0"/>
    <n v="0.05"/>
    <n v="0.05"/>
    <n v="0"/>
    <n v="0"/>
    <n v="0"/>
    <n v="0"/>
    <n v="0"/>
    <n v="0"/>
    <n v="0"/>
    <n v="0"/>
    <n v="0"/>
    <n v="0"/>
    <n v="0"/>
    <n v="0"/>
    <n v="0"/>
    <n v="0"/>
    <n v="0.4"/>
    <n v="1"/>
    <n v="0.06"/>
    <n v="0.15"/>
    <s v="Low Volume (&lt;1 lakh)"/>
    <x v="4"/>
  </r>
  <r>
    <s v="Washim"/>
    <n v="0"/>
    <n v="0"/>
    <n v="0.45"/>
    <n v="0.45"/>
    <n v="0"/>
    <n v="0"/>
    <n v="0"/>
    <n v="0"/>
    <n v="0"/>
    <n v="0"/>
    <n v="0"/>
    <n v="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5"/>
    <n v="1"/>
    <n v="0"/>
    <n v="0"/>
    <s v="Low Volume (&lt;1 lakh)"/>
    <x v="4"/>
  </r>
  <r>
    <s v="Buldhna"/>
    <n v="0"/>
    <n v="0.02"/>
    <n v="1.24"/>
    <n v="1.26"/>
    <n v="0"/>
    <n v="0"/>
    <n v="0"/>
    <n v="0"/>
    <n v="0"/>
    <n v="0"/>
    <n v="0"/>
    <n v="0"/>
    <n v="1.26"/>
    <n v="0"/>
    <n v="7.0000000000000007E-2"/>
    <n v="0.16"/>
    <n v="0.23"/>
    <n v="0"/>
    <n v="0"/>
    <n v="0.46"/>
    <n v="0.46"/>
    <n v="0"/>
    <n v="0"/>
    <n v="0"/>
    <n v="0"/>
    <n v="0"/>
    <n v="0"/>
    <n v="0"/>
    <n v="0"/>
    <n v="0"/>
    <n v="0"/>
    <n v="0"/>
    <n v="0"/>
    <n v="0"/>
    <n v="0"/>
    <n v="1.26"/>
    <n v="1"/>
    <n v="0.69000000000000006"/>
    <n v="0.54800000000000004"/>
    <s v="Mid Volume (1-10 lakh)"/>
    <x v="4"/>
  </r>
  <r>
    <s v="Yavatmal"/>
    <n v="0"/>
    <n v="0"/>
    <n v="1.1299999999999999"/>
    <n v="1.1299999999999999"/>
    <n v="0"/>
    <n v="0"/>
    <n v="0"/>
    <n v="0"/>
    <n v="0"/>
    <n v="0"/>
    <n v="0"/>
    <n v="0"/>
    <n v="1.1299999999999999"/>
    <n v="0"/>
    <n v="0"/>
    <n v="0.76"/>
    <n v="0.76"/>
    <n v="0"/>
    <n v="0"/>
    <n v="0.32"/>
    <n v="0.32"/>
    <n v="0"/>
    <n v="0"/>
    <n v="0"/>
    <n v="0"/>
    <n v="0"/>
    <n v="0"/>
    <n v="0"/>
    <n v="0"/>
    <n v="0"/>
    <n v="0"/>
    <n v="0"/>
    <n v="0"/>
    <n v="0"/>
    <n v="0"/>
    <n v="1.1299999999999999"/>
    <n v="1"/>
    <n v="1.08"/>
    <n v="0.95599999999999996"/>
    <s v="Mid Volume (1-10 lakh)"/>
    <x v="4"/>
  </r>
  <r>
    <s v="Nagpur"/>
    <n v="0"/>
    <n v="0.02"/>
    <n v="1.89"/>
    <n v="1.91"/>
    <n v="0"/>
    <n v="0.01"/>
    <n v="3.26"/>
    <n v="3.27"/>
    <n v="0"/>
    <n v="0"/>
    <n v="1.64"/>
    <n v="1.64"/>
    <n v="6.82"/>
    <n v="0"/>
    <n v="0.05"/>
    <n v="2.91"/>
    <n v="2.96"/>
    <n v="0"/>
    <n v="0"/>
    <n v="0.55000000000000004"/>
    <n v="0.55000000000000004"/>
    <n v="0"/>
    <n v="0"/>
    <n v="0.91"/>
    <n v="0.91"/>
    <n v="0"/>
    <n v="0"/>
    <n v="0.26"/>
    <n v="0.26"/>
    <n v="0"/>
    <n v="0"/>
    <n v="0"/>
    <n v="0"/>
    <n v="0"/>
    <n v="0.02"/>
    <n v="1.91"/>
    <n v="0.28000000000000003"/>
    <n v="4.42"/>
    <n v="0.68600000000000005"/>
    <s v="Mid Volume (1-10 lakh)"/>
    <x v="5"/>
  </r>
  <r>
    <s v="Wardha"/>
    <n v="0"/>
    <n v="0.1"/>
    <n v="1.01"/>
    <n v="1.1100000000000001"/>
    <n v="0"/>
    <n v="0"/>
    <n v="0"/>
    <n v="0"/>
    <n v="0"/>
    <n v="0"/>
    <n v="0"/>
    <n v="0"/>
    <n v="1.1100000000000001"/>
    <n v="0"/>
    <n v="7.0000000000000007E-2"/>
    <n v="0.14000000000000001"/>
    <n v="0.2"/>
    <n v="0"/>
    <n v="0"/>
    <n v="0"/>
    <n v="0"/>
    <n v="0"/>
    <n v="0"/>
    <n v="0"/>
    <n v="0"/>
    <n v="0"/>
    <n v="0.04"/>
    <n v="0"/>
    <n v="0.04"/>
    <n v="0"/>
    <n v="0"/>
    <n v="0"/>
    <n v="0"/>
    <n v="0"/>
    <n v="0"/>
    <n v="1.1100000000000001"/>
    <n v="1"/>
    <n v="0.2"/>
    <n v="0.216"/>
    <s v="Mid Volume (1-10 lakh)"/>
    <x v="5"/>
  </r>
  <r>
    <s v="Bhandara"/>
    <n v="0"/>
    <n v="0.3"/>
    <n v="1.5"/>
    <n v="1.8"/>
    <n v="0"/>
    <n v="0"/>
    <n v="0"/>
    <n v="0"/>
    <n v="0"/>
    <n v="0"/>
    <n v="0"/>
    <n v="0"/>
    <n v="1.8"/>
    <n v="0"/>
    <n v="0.02"/>
    <n v="0.03"/>
    <n v="0.05"/>
    <n v="0"/>
    <n v="0"/>
    <n v="0"/>
    <n v="0"/>
    <n v="0"/>
    <n v="0"/>
    <n v="0"/>
    <n v="0"/>
    <n v="0"/>
    <n v="0.02"/>
    <n v="0"/>
    <n v="0.02"/>
    <n v="0"/>
    <n v="0"/>
    <n v="0"/>
    <n v="0"/>
    <n v="0"/>
    <n v="0"/>
    <n v="1.8"/>
    <n v="1"/>
    <n v="0.05"/>
    <n v="3.9E-2"/>
    <s v="Mid Volume (1-10 lakh)"/>
    <x v="5"/>
  </r>
  <r>
    <s v="Gondia"/>
    <n v="0"/>
    <n v="0"/>
    <n v="0.37"/>
    <n v="0.37"/>
    <n v="0"/>
    <n v="0"/>
    <n v="0"/>
    <n v="0"/>
    <n v="0"/>
    <n v="0"/>
    <n v="0"/>
    <n v="0"/>
    <n v="0.37"/>
    <n v="0"/>
    <n v="0"/>
    <n v="0.02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7"/>
    <n v="1"/>
    <n v="0.02"/>
    <n v="5.3999999999999999E-2"/>
    <s v="Low Volume (&lt;1 lakh)"/>
    <x v="5"/>
  </r>
  <r>
    <s v="Chandrpur"/>
    <n v="0"/>
    <n v="0"/>
    <n v="0.21"/>
    <n v="0.21"/>
    <n v="0"/>
    <n v="0"/>
    <n v="0"/>
    <n v="0"/>
    <n v="0"/>
    <n v="0"/>
    <n v="0"/>
    <n v="0"/>
    <n v="0.21"/>
    <n v="0"/>
    <n v="0.01"/>
    <n v="0.42"/>
    <n v="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"/>
    <n v="1"/>
    <n v="0.42"/>
    <n v="2"/>
    <s v="Low Volume (&lt;1 lakh)"/>
    <x v="5"/>
  </r>
  <r>
    <s v="Gadchiroli"/>
    <n v="0"/>
    <n v="0.01"/>
    <n v="0.01"/>
    <n v="0.03"/>
    <n v="0"/>
    <n v="0"/>
    <n v="0"/>
    <n v="0"/>
    <n v="0"/>
    <n v="0"/>
    <n v="0"/>
    <n v="0"/>
    <n v="0.03"/>
    <n v="0"/>
    <n v="0"/>
    <n v="0.04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1"/>
    <n v="0.04"/>
    <n v="1.333"/>
    <s v="Low Volume (&lt;1 lakh)"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D10" firstHeaderRow="0" firstDataRow="1" firstDataCol="1"/>
  <pivotFields count="42">
    <pivotField compact="0" outline="0" showAll="0">
      <items count="34">
        <item x="5"/>
        <item x="23"/>
        <item x="22"/>
        <item x="10"/>
        <item x="12"/>
        <item x="29"/>
        <item x="25"/>
        <item x="31"/>
        <item x="16"/>
        <item x="8"/>
        <item x="32"/>
        <item x="30"/>
        <item x="14"/>
        <item x="7"/>
        <item x="11"/>
        <item x="4"/>
        <item x="17"/>
        <item x="27"/>
        <item x="15"/>
        <item x="9"/>
        <item x="6"/>
        <item x="13"/>
        <item x="0"/>
        <item x="19"/>
        <item x="20"/>
        <item x="1"/>
        <item x="2"/>
        <item x="21"/>
        <item x="3"/>
        <item x="18"/>
        <item x="28"/>
        <item x="24"/>
        <item x="26"/>
        <item t="default"/>
      </items>
    </pivotField>
    <pivotField dataField="1" compact="0" outline="0" showAll="0">
      <items count="2">
        <item x="0"/>
        <item t="default"/>
      </items>
    </pivotField>
    <pivotField dataField="1" compact="0" outline="0" showAll="0">
      <items count="20">
        <item x="9"/>
        <item x="11"/>
        <item x="17"/>
        <item x="13"/>
        <item x="16"/>
        <item x="8"/>
        <item x="14"/>
        <item x="15"/>
        <item x="18"/>
        <item x="6"/>
        <item x="10"/>
        <item x="2"/>
        <item x="12"/>
        <item x="3"/>
        <item x="7"/>
        <item x="1"/>
        <item x="0"/>
        <item x="5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2"/>
        <item x="3"/>
        <item x="5"/>
        <item x="1"/>
        <item x="0"/>
        <item t="default"/>
      </items>
    </pivotField>
  </pivotFields>
  <rowFields count="1">
    <field x="4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asic Procurement Govt" fld="1" baseField="0" baseItem="0"/>
    <dataField name="Sum of Basic Procurement Co.op" fld="2" baseField="0" baseItem="0"/>
    <dataField name="Sum of Basic Procurement Pv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8">
  <location ref="A72:B79" firstHeaderRow="1" firstDataRow="1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sortType="descending" outline="0" showAll="0">
      <items count="8">
        <item h="1" x="6"/>
        <item x="0"/>
        <item x="1"/>
        <item x="5"/>
        <item x="3"/>
        <item x="2"/>
        <item x="4"/>
        <item t="default"/>
      </items>
    </pivotField>
  </pivotFields>
  <rowFields count="1">
    <field x="4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ocurement &amp; Receipt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8:E45" firstHeaderRow="0" firstDataRow="1" firstDataCol="1"/>
  <pivotFields count="42">
    <pivotField compact="0" outline="0" showAll="0">
      <items count="34">
        <item x="5"/>
        <item x="23"/>
        <item x="22"/>
        <item x="10"/>
        <item x="12"/>
        <item x="29"/>
        <item x="25"/>
        <item x="31"/>
        <item x="16"/>
        <item x="8"/>
        <item x="32"/>
        <item x="30"/>
        <item x="14"/>
        <item x="7"/>
        <item x="11"/>
        <item x="4"/>
        <item x="17"/>
        <item x="27"/>
        <item x="15"/>
        <item x="9"/>
        <item x="6"/>
        <item x="13"/>
        <item x="0"/>
        <item x="19"/>
        <item x="20"/>
        <item x="1"/>
        <item x="2"/>
        <item x="21"/>
        <item x="3"/>
        <item x="18"/>
        <item x="28"/>
        <item x="24"/>
        <item x="2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2"/>
        <item x="3"/>
        <item x="5"/>
        <item x="1"/>
        <item x="0"/>
        <item t="default"/>
      </items>
    </pivotField>
  </pivotFields>
  <rowFields count="1">
    <field x="4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Pouch Sale" fld="17" baseField="0" baseItem="0"/>
    <dataField name="Sum of Total Retail Sale" fld="21" baseField="0" baseItem="0"/>
    <dataField name="Sum of Total Bi-Products" fld="29" baseField="0" baseItem="0"/>
    <dataField name="Sum of Total Conversion" fld="3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5">
  <location ref="A24:B35" firstHeaderRow="1" firstDataRow="1" firstDataCol="1"/>
  <pivotFields count="42">
    <pivotField axis="axisRow" measureFilter="1" compact="0" sortType="descending" outline="0" showAll="0">
      <items count="34">
        <item x="5"/>
        <item x="23"/>
        <item x="22"/>
        <item x="10"/>
        <item x="12"/>
        <item x="29"/>
        <item x="25"/>
        <item x="31"/>
        <item x="16"/>
        <item x="8"/>
        <item x="32"/>
        <item x="30"/>
        <item x="14"/>
        <item x="7"/>
        <item x="11"/>
        <item x="4"/>
        <item x="17"/>
        <item x="27"/>
        <item x="15"/>
        <item x="9"/>
        <item x="6"/>
        <item x="13"/>
        <item x="0"/>
        <item x="19"/>
        <item x="20"/>
        <item x="1"/>
        <item x="2"/>
        <item x="21"/>
        <item x="3"/>
        <item x="18"/>
        <item x="28"/>
        <item x="24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 v="22"/>
    </i>
    <i>
      <x/>
    </i>
    <i>
      <x v="29"/>
    </i>
    <i>
      <x v="26"/>
    </i>
    <i>
      <x v="15"/>
    </i>
    <i>
      <x v="28"/>
    </i>
    <i>
      <x v="25"/>
    </i>
    <i>
      <x v="20"/>
    </i>
    <i>
      <x v="17"/>
    </i>
    <i>
      <x v="8"/>
    </i>
    <i t="grand">
      <x/>
    </i>
  </rowItems>
  <colItems count="1">
    <i/>
  </colItems>
  <dataFields count="1">
    <dataField name="Sum of Total Procurement &amp; Receipt" fld="13" baseField="0" baseItem="0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2:C19" totalsRowShown="0">
  <autoFilter xmlns:etc="http://www.wps.cn/officeDocument/2017/etCustomData" ref="A12:C19" etc:filterBottomFollowUsedRange="0"/>
  <tableColumns count="3">
    <tableColumn id="1" name="Division"/>
    <tableColumn id="2" name="Co.op%" dataDxfId="0">
      <calculatedColumnFormula>C4/(C4+D4)</calculatedColumnFormula>
    </tableColumn>
    <tableColumn id="3" name="Pvt%" dataDxfId="1">
      <calculatedColumnFormula>D4/(D4+C4)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8:E54" totalsRowShown="0">
  <autoFilter xmlns:etc="http://www.wps.cn/officeDocument/2017/etCustomData" ref="A48:E54" etc:filterBottomFollowUsedRange="0"/>
  <tableColumns count="5">
    <tableColumn id="1" name="Division"/>
    <tableColumn id="2" name="Total Pouch Sale" dataDxfId="2">
      <calculatedColumnFormula>B39/$G39</calculatedColumnFormula>
    </tableColumn>
    <tableColumn id="3" name="Sum of Total Retail Sale" dataDxfId="3">
      <calculatedColumnFormula>C39/$G39</calculatedColumnFormula>
    </tableColumn>
    <tableColumn id="4" name="Sum of Total Bi-Products" dataDxfId="4">
      <calculatedColumnFormula>D39/$G39</calculatedColumnFormula>
    </tableColumn>
    <tableColumn id="5" name="Sum of Total Conversion" dataDxfId="5">
      <calculatedColumnFormula>E39/$G39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87:B91" totalsRowShown="0">
  <autoFilter xmlns:etc="http://www.wps.cn/officeDocument/2017/etCustomData" ref="A87:B91" etc:filterBottomFollowUsedRange="0"/>
  <tableColumns count="2">
    <tableColumn id="1" name="DIST"/>
    <tableColumn id="2" name="Self_Sufficiency_Rati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7" Type="http://schemas.openxmlformats.org/officeDocument/2006/relationships/table" Target="../tables/table2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4"/>
  <sheetViews>
    <sheetView topLeftCell="W5" workbookViewId="0">
      <selection activeCell="A20" sqref="A20:AP20"/>
    </sheetView>
  </sheetViews>
  <sheetFormatPr defaultColWidth="9" defaultRowHeight="16.8"/>
  <cols>
    <col min="38" max="38" width="22.7109375" customWidth="1"/>
    <col min="41" max="41" width="22" customWidth="1"/>
  </cols>
  <sheetData>
    <row r="1" spans="1:4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</row>
    <row r="2" spans="1:42">
      <c r="A2" t="s">
        <v>42</v>
      </c>
      <c r="B2">
        <v>0</v>
      </c>
      <c r="C2">
        <v>5.8</v>
      </c>
      <c r="D2">
        <v>23.62</v>
      </c>
      <c r="E2">
        <v>29.41</v>
      </c>
      <c r="F2">
        <v>0</v>
      </c>
      <c r="G2">
        <v>0</v>
      </c>
      <c r="H2">
        <v>57.3</v>
      </c>
      <c r="I2">
        <v>57.3</v>
      </c>
      <c r="J2">
        <v>0</v>
      </c>
      <c r="K2">
        <v>0</v>
      </c>
      <c r="L2">
        <v>0.68</v>
      </c>
      <c r="M2">
        <v>0.68</v>
      </c>
      <c r="N2">
        <v>87.39</v>
      </c>
      <c r="O2">
        <v>0</v>
      </c>
      <c r="P2">
        <v>1.35</v>
      </c>
      <c r="Q2">
        <v>11.6</v>
      </c>
      <c r="R2">
        <v>12.95</v>
      </c>
      <c r="S2">
        <v>0</v>
      </c>
      <c r="T2">
        <v>3.97</v>
      </c>
      <c r="U2">
        <v>7.09</v>
      </c>
      <c r="V2">
        <v>11.06</v>
      </c>
      <c r="W2">
        <v>0</v>
      </c>
      <c r="X2">
        <v>0</v>
      </c>
      <c r="Y2">
        <v>1.37</v>
      </c>
      <c r="Z2">
        <v>1.37</v>
      </c>
      <c r="AA2">
        <v>0</v>
      </c>
      <c r="AB2">
        <v>0.04</v>
      </c>
      <c r="AC2">
        <v>26.64</v>
      </c>
      <c r="AD2">
        <v>26.68</v>
      </c>
      <c r="AE2">
        <v>0</v>
      </c>
      <c r="AF2">
        <v>0</v>
      </c>
      <c r="AG2">
        <v>34.8</v>
      </c>
      <c r="AH2">
        <v>34.8</v>
      </c>
      <c r="AI2">
        <v>0</v>
      </c>
      <c r="AJ2">
        <v>0.45</v>
      </c>
      <c r="AK2">
        <v>29.42</v>
      </c>
      <c r="AL2">
        <v>0.337</v>
      </c>
      <c r="AM2">
        <v>25.38</v>
      </c>
      <c r="AN2">
        <v>0.994</v>
      </c>
      <c r="AO2" t="s">
        <v>43</v>
      </c>
      <c r="AP2" t="s">
        <v>42</v>
      </c>
    </row>
    <row r="3" spans="1:42">
      <c r="A3" t="s">
        <v>44</v>
      </c>
      <c r="B3">
        <v>0</v>
      </c>
      <c r="C3">
        <v>4.17</v>
      </c>
      <c r="D3">
        <v>10.67</v>
      </c>
      <c r="E3">
        <v>14.84</v>
      </c>
      <c r="F3">
        <v>0</v>
      </c>
      <c r="G3">
        <v>0.15</v>
      </c>
      <c r="H3">
        <v>0</v>
      </c>
      <c r="I3">
        <v>0.15</v>
      </c>
      <c r="J3">
        <v>0</v>
      </c>
      <c r="K3">
        <v>0</v>
      </c>
      <c r="L3">
        <v>0.42</v>
      </c>
      <c r="M3">
        <v>0.42</v>
      </c>
      <c r="N3">
        <v>15.4</v>
      </c>
      <c r="O3">
        <v>0</v>
      </c>
      <c r="P3">
        <v>0.93</v>
      </c>
      <c r="Q3">
        <v>4.96</v>
      </c>
      <c r="R3">
        <v>5.89</v>
      </c>
      <c r="S3">
        <v>0</v>
      </c>
      <c r="T3">
        <v>2.49</v>
      </c>
      <c r="U3">
        <v>3.67</v>
      </c>
      <c r="V3">
        <v>6.16</v>
      </c>
      <c r="W3">
        <v>0</v>
      </c>
      <c r="X3">
        <v>0.05</v>
      </c>
      <c r="Y3">
        <v>0</v>
      </c>
      <c r="Z3">
        <v>0.06</v>
      </c>
      <c r="AA3">
        <v>0</v>
      </c>
      <c r="AB3">
        <v>0.15</v>
      </c>
      <c r="AC3">
        <v>0.51</v>
      </c>
      <c r="AD3">
        <v>0.65</v>
      </c>
      <c r="AE3">
        <v>0</v>
      </c>
      <c r="AF3">
        <v>0.64</v>
      </c>
      <c r="AG3">
        <v>1.95</v>
      </c>
      <c r="AH3">
        <v>2.59</v>
      </c>
      <c r="AI3">
        <v>0</v>
      </c>
      <c r="AJ3">
        <v>0.05</v>
      </c>
      <c r="AK3">
        <v>14.84</v>
      </c>
      <c r="AL3">
        <v>0.964</v>
      </c>
      <c r="AM3">
        <v>12.11</v>
      </c>
      <c r="AN3">
        <v>0.997</v>
      </c>
      <c r="AO3" t="s">
        <v>43</v>
      </c>
      <c r="AP3" t="s">
        <v>42</v>
      </c>
    </row>
    <row r="4" spans="1:42">
      <c r="A4" t="s">
        <v>45</v>
      </c>
      <c r="B4">
        <v>0</v>
      </c>
      <c r="C4">
        <v>0.97</v>
      </c>
      <c r="D4">
        <v>15.34</v>
      </c>
      <c r="E4">
        <v>16.31</v>
      </c>
      <c r="F4">
        <v>0</v>
      </c>
      <c r="G4">
        <v>0.15</v>
      </c>
      <c r="H4">
        <v>3.82</v>
      </c>
      <c r="I4">
        <v>3.97</v>
      </c>
      <c r="J4">
        <v>0</v>
      </c>
      <c r="K4">
        <v>0</v>
      </c>
      <c r="L4">
        <v>0</v>
      </c>
      <c r="M4">
        <v>0</v>
      </c>
      <c r="N4">
        <v>20.27</v>
      </c>
      <c r="O4">
        <v>0</v>
      </c>
      <c r="P4">
        <v>0.45</v>
      </c>
      <c r="Q4">
        <v>2.42</v>
      </c>
      <c r="R4">
        <v>2.87</v>
      </c>
      <c r="S4">
        <v>0</v>
      </c>
      <c r="T4">
        <v>0.59</v>
      </c>
      <c r="U4">
        <v>9.71</v>
      </c>
      <c r="V4">
        <v>10.3</v>
      </c>
      <c r="W4">
        <v>0</v>
      </c>
      <c r="X4">
        <v>0</v>
      </c>
      <c r="Y4">
        <v>1.08</v>
      </c>
      <c r="Z4">
        <v>1.08</v>
      </c>
      <c r="AA4">
        <v>0</v>
      </c>
      <c r="AB4">
        <v>0.04</v>
      </c>
      <c r="AC4">
        <v>2.2</v>
      </c>
      <c r="AD4">
        <v>2.24</v>
      </c>
      <c r="AE4">
        <v>0</v>
      </c>
      <c r="AF4">
        <v>0</v>
      </c>
      <c r="AG4">
        <v>3.82</v>
      </c>
      <c r="AH4">
        <v>3.82</v>
      </c>
      <c r="AI4">
        <v>0</v>
      </c>
      <c r="AJ4">
        <v>0.03</v>
      </c>
      <c r="AK4">
        <v>16.31</v>
      </c>
      <c r="AL4">
        <v>0.805</v>
      </c>
      <c r="AM4">
        <v>14.25</v>
      </c>
      <c r="AN4">
        <v>1.002</v>
      </c>
      <c r="AO4" t="s">
        <v>43</v>
      </c>
      <c r="AP4" t="s">
        <v>42</v>
      </c>
    </row>
    <row r="5" spans="1:42">
      <c r="A5" t="s">
        <v>46</v>
      </c>
      <c r="B5">
        <v>0</v>
      </c>
      <c r="C5">
        <v>1.61</v>
      </c>
      <c r="D5">
        <v>12.7</v>
      </c>
      <c r="E5">
        <v>14.31</v>
      </c>
      <c r="F5">
        <v>0</v>
      </c>
      <c r="G5">
        <v>0.75</v>
      </c>
      <c r="H5">
        <v>0</v>
      </c>
      <c r="I5">
        <v>0.75</v>
      </c>
      <c r="J5">
        <v>0</v>
      </c>
      <c r="K5">
        <v>1.54</v>
      </c>
      <c r="L5">
        <v>0</v>
      </c>
      <c r="M5">
        <v>1.54</v>
      </c>
      <c r="N5">
        <v>16.6</v>
      </c>
      <c r="O5">
        <v>0</v>
      </c>
      <c r="P5">
        <v>0.3</v>
      </c>
      <c r="Q5">
        <v>0.25</v>
      </c>
      <c r="R5">
        <v>0.55</v>
      </c>
      <c r="S5">
        <v>0</v>
      </c>
      <c r="T5">
        <v>0.43</v>
      </c>
      <c r="U5">
        <v>9.22</v>
      </c>
      <c r="V5">
        <v>9.65</v>
      </c>
      <c r="W5">
        <v>0</v>
      </c>
      <c r="X5">
        <v>0</v>
      </c>
      <c r="Y5">
        <v>3.2</v>
      </c>
      <c r="Z5">
        <v>3.2</v>
      </c>
      <c r="AA5">
        <v>0</v>
      </c>
      <c r="AB5">
        <v>0.16</v>
      </c>
      <c r="AC5">
        <v>0.03</v>
      </c>
      <c r="AD5">
        <v>0.19</v>
      </c>
      <c r="AE5">
        <v>0</v>
      </c>
      <c r="AF5">
        <v>2.87</v>
      </c>
      <c r="AG5">
        <v>0</v>
      </c>
      <c r="AH5">
        <v>2.87</v>
      </c>
      <c r="AI5">
        <v>0</v>
      </c>
      <c r="AJ5">
        <v>0</v>
      </c>
      <c r="AK5">
        <v>14.31</v>
      </c>
      <c r="AL5">
        <v>0.862</v>
      </c>
      <c r="AM5">
        <v>13.4</v>
      </c>
      <c r="AN5">
        <v>0.992</v>
      </c>
      <c r="AO5" t="s">
        <v>43</v>
      </c>
      <c r="AP5" t="s">
        <v>42</v>
      </c>
    </row>
    <row r="6" spans="1:42">
      <c r="A6" t="s">
        <v>47</v>
      </c>
      <c r="B6">
        <v>0</v>
      </c>
      <c r="C6">
        <v>14.12</v>
      </c>
      <c r="D6">
        <v>0.79</v>
      </c>
      <c r="E6">
        <v>14.91</v>
      </c>
      <c r="F6">
        <v>0</v>
      </c>
      <c r="G6">
        <v>2.17</v>
      </c>
      <c r="H6">
        <v>0.89</v>
      </c>
      <c r="I6">
        <v>3.06</v>
      </c>
      <c r="J6">
        <v>0</v>
      </c>
      <c r="K6">
        <v>1.88</v>
      </c>
      <c r="L6">
        <v>0.4</v>
      </c>
      <c r="M6">
        <v>2.28</v>
      </c>
      <c r="N6">
        <v>20.24</v>
      </c>
      <c r="O6">
        <v>0</v>
      </c>
      <c r="P6">
        <v>17.03</v>
      </c>
      <c r="Q6">
        <v>0.89</v>
      </c>
      <c r="R6">
        <v>17.92</v>
      </c>
      <c r="S6">
        <v>0</v>
      </c>
      <c r="T6">
        <v>0.47</v>
      </c>
      <c r="U6">
        <v>0.4</v>
      </c>
      <c r="V6">
        <v>0.86</v>
      </c>
      <c r="W6">
        <v>0</v>
      </c>
      <c r="X6">
        <v>0.1</v>
      </c>
      <c r="Y6">
        <v>0.21</v>
      </c>
      <c r="Z6">
        <v>0.31</v>
      </c>
      <c r="AA6">
        <v>0</v>
      </c>
      <c r="AB6">
        <v>0.33</v>
      </c>
      <c r="AC6">
        <v>0.45</v>
      </c>
      <c r="AD6">
        <v>0.78</v>
      </c>
      <c r="AE6">
        <v>0</v>
      </c>
      <c r="AF6">
        <v>0.87</v>
      </c>
      <c r="AG6">
        <v>0.7</v>
      </c>
      <c r="AH6">
        <v>1.57</v>
      </c>
      <c r="AI6">
        <v>0</v>
      </c>
      <c r="AJ6">
        <v>0</v>
      </c>
      <c r="AK6">
        <v>14.91</v>
      </c>
      <c r="AL6">
        <v>0.737</v>
      </c>
      <c r="AM6">
        <v>19.09</v>
      </c>
      <c r="AN6">
        <v>1.059</v>
      </c>
      <c r="AO6" t="s">
        <v>43</v>
      </c>
      <c r="AP6" t="s">
        <v>42</v>
      </c>
    </row>
    <row r="7" spans="1:42">
      <c r="A7" t="s">
        <v>48</v>
      </c>
      <c r="B7">
        <v>0</v>
      </c>
      <c r="C7">
        <v>5.95</v>
      </c>
      <c r="D7">
        <v>31.35</v>
      </c>
      <c r="E7">
        <v>37.3</v>
      </c>
      <c r="F7">
        <v>0</v>
      </c>
      <c r="G7">
        <v>1.21</v>
      </c>
      <c r="H7">
        <v>1.32</v>
      </c>
      <c r="I7">
        <v>2.53</v>
      </c>
      <c r="J7">
        <v>0</v>
      </c>
      <c r="K7">
        <v>0</v>
      </c>
      <c r="L7">
        <v>0</v>
      </c>
      <c r="M7">
        <v>0</v>
      </c>
      <c r="N7">
        <v>39.83</v>
      </c>
      <c r="O7">
        <v>0</v>
      </c>
      <c r="P7">
        <v>1.92</v>
      </c>
      <c r="Q7">
        <v>3.04</v>
      </c>
      <c r="R7">
        <v>4.96</v>
      </c>
      <c r="S7">
        <v>0</v>
      </c>
      <c r="T7">
        <v>2.03</v>
      </c>
      <c r="U7">
        <v>20.22</v>
      </c>
      <c r="V7">
        <v>22.25</v>
      </c>
      <c r="W7">
        <v>0</v>
      </c>
      <c r="X7">
        <v>0.64</v>
      </c>
      <c r="Y7">
        <v>0</v>
      </c>
      <c r="Z7">
        <v>0.64</v>
      </c>
      <c r="AA7">
        <v>0</v>
      </c>
      <c r="AB7">
        <v>0.32</v>
      </c>
      <c r="AC7">
        <v>1.72</v>
      </c>
      <c r="AD7">
        <v>2.04</v>
      </c>
      <c r="AE7">
        <v>0</v>
      </c>
      <c r="AF7">
        <v>1.23</v>
      </c>
      <c r="AG7">
        <v>7.7</v>
      </c>
      <c r="AH7">
        <v>8.93</v>
      </c>
      <c r="AI7">
        <v>0</v>
      </c>
      <c r="AJ7">
        <v>0</v>
      </c>
      <c r="AK7">
        <v>37.3</v>
      </c>
      <c r="AL7">
        <v>0.936</v>
      </c>
      <c r="AM7">
        <v>27.85</v>
      </c>
      <c r="AN7">
        <v>0.975</v>
      </c>
      <c r="AO7" t="s">
        <v>43</v>
      </c>
      <c r="AP7" t="s">
        <v>49</v>
      </c>
    </row>
    <row r="8" spans="1:42">
      <c r="A8" t="s">
        <v>50</v>
      </c>
      <c r="B8">
        <v>0</v>
      </c>
      <c r="C8">
        <v>0.55</v>
      </c>
      <c r="D8">
        <v>6.86</v>
      </c>
      <c r="E8">
        <v>7.41</v>
      </c>
      <c r="F8">
        <v>0</v>
      </c>
      <c r="G8">
        <v>0.16</v>
      </c>
      <c r="H8">
        <v>1.29</v>
      </c>
      <c r="I8">
        <v>1.45</v>
      </c>
      <c r="J8">
        <v>0</v>
      </c>
      <c r="K8">
        <v>0</v>
      </c>
      <c r="L8">
        <v>0</v>
      </c>
      <c r="M8">
        <v>0</v>
      </c>
      <c r="N8">
        <v>8.86</v>
      </c>
      <c r="O8">
        <v>0</v>
      </c>
      <c r="P8">
        <v>0.08</v>
      </c>
      <c r="Q8">
        <v>0.54</v>
      </c>
      <c r="R8">
        <v>0.62</v>
      </c>
      <c r="S8">
        <v>0</v>
      </c>
      <c r="T8">
        <v>0.17</v>
      </c>
      <c r="U8">
        <v>3.72</v>
      </c>
      <c r="V8">
        <v>3.89</v>
      </c>
      <c r="W8">
        <v>0</v>
      </c>
      <c r="X8">
        <v>0.46</v>
      </c>
      <c r="Y8">
        <v>2.03</v>
      </c>
      <c r="Z8">
        <v>2.49</v>
      </c>
      <c r="AA8">
        <v>0</v>
      </c>
      <c r="AB8">
        <v>0</v>
      </c>
      <c r="AC8">
        <v>0.15</v>
      </c>
      <c r="AD8">
        <v>0.15</v>
      </c>
      <c r="AE8">
        <v>0</v>
      </c>
      <c r="AF8">
        <v>0</v>
      </c>
      <c r="AG8">
        <v>1.67</v>
      </c>
      <c r="AH8">
        <v>1.67</v>
      </c>
      <c r="AI8">
        <v>0</v>
      </c>
      <c r="AJ8">
        <v>0</v>
      </c>
      <c r="AK8">
        <v>7.41</v>
      </c>
      <c r="AL8">
        <v>0.836</v>
      </c>
      <c r="AM8">
        <v>7</v>
      </c>
      <c r="AN8">
        <v>0.995</v>
      </c>
      <c r="AO8" t="s">
        <v>51</v>
      </c>
      <c r="AP8" t="s">
        <v>49</v>
      </c>
    </row>
    <row r="9" spans="1:42">
      <c r="A9" t="s">
        <v>52</v>
      </c>
      <c r="B9">
        <v>0</v>
      </c>
      <c r="C9">
        <v>2.28</v>
      </c>
      <c r="D9">
        <v>0.76</v>
      </c>
      <c r="E9">
        <v>3.04</v>
      </c>
      <c r="F9">
        <v>0</v>
      </c>
      <c r="G9">
        <v>0</v>
      </c>
      <c r="H9">
        <v>0.74</v>
      </c>
      <c r="I9">
        <v>0.74</v>
      </c>
      <c r="J9">
        <v>0</v>
      </c>
      <c r="K9">
        <v>0</v>
      </c>
      <c r="L9">
        <v>0</v>
      </c>
      <c r="M9">
        <v>0</v>
      </c>
      <c r="N9">
        <v>3.78</v>
      </c>
      <c r="O9">
        <v>0</v>
      </c>
      <c r="P9">
        <v>1.02</v>
      </c>
      <c r="Q9">
        <v>0.81</v>
      </c>
      <c r="R9">
        <v>1.83</v>
      </c>
      <c r="S9">
        <v>0</v>
      </c>
      <c r="T9">
        <v>0</v>
      </c>
      <c r="U9">
        <v>0.32</v>
      </c>
      <c r="V9">
        <v>0.32</v>
      </c>
      <c r="W9">
        <v>0</v>
      </c>
      <c r="X9">
        <v>0.16</v>
      </c>
      <c r="Y9">
        <v>0.18</v>
      </c>
      <c r="Z9">
        <v>0.34</v>
      </c>
      <c r="AA9">
        <v>0</v>
      </c>
      <c r="AB9">
        <v>0.05</v>
      </c>
      <c r="AC9">
        <v>0.19</v>
      </c>
      <c r="AD9">
        <v>0.24</v>
      </c>
      <c r="AE9">
        <v>0</v>
      </c>
      <c r="AF9">
        <v>0.84</v>
      </c>
      <c r="AG9">
        <v>0</v>
      </c>
      <c r="AH9">
        <v>0.84</v>
      </c>
      <c r="AI9">
        <v>0</v>
      </c>
      <c r="AJ9">
        <v>0</v>
      </c>
      <c r="AK9">
        <v>3.04</v>
      </c>
      <c r="AL9">
        <v>0.804</v>
      </c>
      <c r="AM9">
        <v>2.49</v>
      </c>
      <c r="AN9">
        <v>0.944</v>
      </c>
      <c r="AO9" t="s">
        <v>51</v>
      </c>
      <c r="AP9" t="s">
        <v>49</v>
      </c>
    </row>
    <row r="10" spans="1:42">
      <c r="A10" t="s">
        <v>53</v>
      </c>
      <c r="B10">
        <v>0</v>
      </c>
      <c r="C10">
        <v>0.1</v>
      </c>
      <c r="D10">
        <v>1.25</v>
      </c>
      <c r="E10">
        <v>1.35</v>
      </c>
      <c r="F10">
        <v>0</v>
      </c>
      <c r="G10">
        <v>0</v>
      </c>
      <c r="H10">
        <v>2.17</v>
      </c>
      <c r="I10">
        <v>2.17</v>
      </c>
      <c r="J10">
        <v>0</v>
      </c>
      <c r="K10">
        <v>0</v>
      </c>
      <c r="L10">
        <v>0</v>
      </c>
      <c r="M10">
        <v>0</v>
      </c>
      <c r="N10">
        <v>3.52</v>
      </c>
      <c r="O10">
        <v>0</v>
      </c>
      <c r="P10">
        <v>0</v>
      </c>
      <c r="Q10">
        <v>0.16</v>
      </c>
      <c r="R10">
        <v>0.16</v>
      </c>
      <c r="S10">
        <v>0</v>
      </c>
      <c r="T10">
        <v>0.05</v>
      </c>
      <c r="U10">
        <v>2.9</v>
      </c>
      <c r="V10">
        <v>2.95</v>
      </c>
      <c r="W10">
        <v>0</v>
      </c>
      <c r="X10">
        <v>0.05</v>
      </c>
      <c r="Y10">
        <v>0.36</v>
      </c>
      <c r="Z10">
        <v>0.41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1.35</v>
      </c>
      <c r="AL10">
        <v>0.384</v>
      </c>
      <c r="AM10">
        <v>3.52</v>
      </c>
      <c r="AN10">
        <v>1</v>
      </c>
      <c r="AO10" t="s">
        <v>51</v>
      </c>
      <c r="AP10" t="s">
        <v>49</v>
      </c>
    </row>
    <row r="11" spans="1:42">
      <c r="A1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O11" t="s">
        <v>55</v>
      </c>
      <c r="AP11" t="s">
        <v>49</v>
      </c>
    </row>
    <row r="12" spans="1:42">
      <c r="A12" t="s">
        <v>56</v>
      </c>
      <c r="B12">
        <v>0</v>
      </c>
      <c r="C12">
        <v>0.59</v>
      </c>
      <c r="D12">
        <v>4.84</v>
      </c>
      <c r="E12">
        <v>5.43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5.43</v>
      </c>
      <c r="O12">
        <v>0</v>
      </c>
      <c r="P12">
        <v>0.3</v>
      </c>
      <c r="Q12">
        <v>0.1</v>
      </c>
      <c r="R12">
        <v>0.4</v>
      </c>
      <c r="S12">
        <v>0</v>
      </c>
      <c r="T12">
        <v>0.26</v>
      </c>
      <c r="U12">
        <v>4.72</v>
      </c>
      <c r="V12">
        <v>4.98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0.03</v>
      </c>
      <c r="AC12">
        <v>0.03</v>
      </c>
      <c r="AD12">
        <v>0.06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0.25</v>
      </c>
      <c r="AK12">
        <v>5.43</v>
      </c>
      <c r="AL12">
        <v>1</v>
      </c>
      <c r="AM12">
        <v>5.38</v>
      </c>
      <c r="AN12">
        <v>1.002</v>
      </c>
      <c r="AO12" t="s">
        <v>51</v>
      </c>
      <c r="AP12" t="s">
        <v>56</v>
      </c>
    </row>
    <row r="13" spans="1:42">
      <c r="A13" t="s">
        <v>57</v>
      </c>
      <c r="B13">
        <v>0</v>
      </c>
      <c r="C13">
        <v>0.01</v>
      </c>
      <c r="D13">
        <v>0.48</v>
      </c>
      <c r="E13">
        <v>0.49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0.49</v>
      </c>
      <c r="O13">
        <v>0</v>
      </c>
      <c r="P13">
        <v>0</v>
      </c>
      <c r="Q13">
        <v>0.02</v>
      </c>
      <c r="R13">
        <v>0.02</v>
      </c>
      <c r="S13">
        <v>0</v>
      </c>
      <c r="T13">
        <v>0.01</v>
      </c>
      <c r="U13">
        <v>0.46</v>
      </c>
      <c r="V13">
        <v>0.47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0.49</v>
      </c>
      <c r="AL13">
        <v>1</v>
      </c>
      <c r="AM13">
        <v>0.49</v>
      </c>
      <c r="AN13">
        <v>1</v>
      </c>
      <c r="AO13" t="s">
        <v>55</v>
      </c>
      <c r="AP13" t="s">
        <v>56</v>
      </c>
    </row>
    <row r="14" spans="1:42">
      <c r="A14" t="s">
        <v>58</v>
      </c>
      <c r="B14">
        <v>0</v>
      </c>
      <c r="C14">
        <v>1.29</v>
      </c>
      <c r="D14">
        <v>1.57</v>
      </c>
      <c r="E14">
        <v>2.86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2.86</v>
      </c>
      <c r="O14">
        <v>0</v>
      </c>
      <c r="P14">
        <v>0.01</v>
      </c>
      <c r="Q14">
        <v>0.1</v>
      </c>
      <c r="R14">
        <v>0.11</v>
      </c>
      <c r="S14">
        <v>0</v>
      </c>
      <c r="T14">
        <v>1.21</v>
      </c>
      <c r="U14">
        <v>0.46</v>
      </c>
      <c r="V14">
        <v>1.68</v>
      </c>
      <c r="W14">
        <v>0</v>
      </c>
      <c r="X14">
        <v>0.06</v>
      </c>
      <c r="Y14">
        <v>1</v>
      </c>
      <c r="Z14">
        <v>1.05</v>
      </c>
      <c r="AA14">
        <v>0</v>
      </c>
      <c r="AB14">
        <v>0.01</v>
      </c>
      <c r="AC14">
        <v>0.01</v>
      </c>
      <c r="AD14">
        <v>0.02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0.21</v>
      </c>
      <c r="AK14">
        <v>2.86</v>
      </c>
      <c r="AL14">
        <v>1</v>
      </c>
      <c r="AM14">
        <v>2.84</v>
      </c>
      <c r="AN14">
        <v>1</v>
      </c>
      <c r="AO14" t="s">
        <v>51</v>
      </c>
      <c r="AP14" t="s">
        <v>56</v>
      </c>
    </row>
    <row r="15" spans="1:42">
      <c r="A15" t="s">
        <v>59</v>
      </c>
      <c r="B15">
        <v>0</v>
      </c>
      <c r="C15">
        <v>0</v>
      </c>
      <c r="D15">
        <v>0.15</v>
      </c>
      <c r="E15">
        <v>0.15</v>
      </c>
      <c r="F15">
        <v>0</v>
      </c>
      <c r="G15">
        <v>0</v>
      </c>
      <c r="H15">
        <v>0.01</v>
      </c>
      <c r="I15">
        <v>0.01</v>
      </c>
      <c r="J15">
        <v>0</v>
      </c>
      <c r="K15">
        <v>0</v>
      </c>
      <c r="L15">
        <v>0</v>
      </c>
      <c r="M15">
        <v>0</v>
      </c>
      <c r="N15">
        <v>0.16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0.08</v>
      </c>
      <c r="V15">
        <v>0.08</v>
      </c>
      <c r="W15">
        <v>0</v>
      </c>
      <c r="X15">
        <v>0</v>
      </c>
      <c r="Y15">
        <v>0.07</v>
      </c>
      <c r="Z15">
        <v>0.07</v>
      </c>
      <c r="AA15">
        <v>0</v>
      </c>
      <c r="AB15">
        <v>0</v>
      </c>
      <c r="AC15">
        <v>0.02</v>
      </c>
      <c r="AD15">
        <v>0.02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0.15</v>
      </c>
      <c r="AL15">
        <v>0.938</v>
      </c>
      <c r="AM15">
        <v>0.15</v>
      </c>
      <c r="AN15">
        <v>1.062</v>
      </c>
      <c r="AO15" t="s">
        <v>55</v>
      </c>
      <c r="AP15" t="s">
        <v>56</v>
      </c>
    </row>
    <row r="16" spans="1:42">
      <c r="A16" t="s">
        <v>60</v>
      </c>
      <c r="B16">
        <v>0</v>
      </c>
      <c r="C16">
        <v>0</v>
      </c>
      <c r="D16">
        <v>0.24</v>
      </c>
      <c r="E16">
        <v>0.24</v>
      </c>
      <c r="F16">
        <v>0</v>
      </c>
      <c r="G16">
        <v>0</v>
      </c>
      <c r="H16">
        <v>0.07</v>
      </c>
      <c r="I16">
        <v>0.07</v>
      </c>
      <c r="J16">
        <v>0</v>
      </c>
      <c r="K16">
        <v>0</v>
      </c>
      <c r="L16">
        <v>0</v>
      </c>
      <c r="M16">
        <v>0</v>
      </c>
      <c r="N16">
        <v>0.31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0.08</v>
      </c>
      <c r="V16">
        <v>0.08</v>
      </c>
      <c r="W16">
        <v>0</v>
      </c>
      <c r="X16">
        <v>0</v>
      </c>
      <c r="Y16">
        <v>0.23</v>
      </c>
      <c r="Z16">
        <v>0.23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0.24</v>
      </c>
      <c r="AL16">
        <v>0.774</v>
      </c>
      <c r="AM16">
        <v>0.31</v>
      </c>
      <c r="AN16">
        <v>1</v>
      </c>
      <c r="AO16" t="s">
        <v>55</v>
      </c>
      <c r="AP16" t="s">
        <v>56</v>
      </c>
    </row>
    <row r="17" spans="1:42">
      <c r="A17" t="s">
        <v>61</v>
      </c>
      <c r="B17">
        <v>0</v>
      </c>
      <c r="C17">
        <v>0</v>
      </c>
      <c r="D17">
        <v>0.5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</v>
      </c>
      <c r="O17">
        <v>0</v>
      </c>
      <c r="P17">
        <v>0</v>
      </c>
      <c r="Q17">
        <v>0.08</v>
      </c>
      <c r="R17">
        <v>0.08</v>
      </c>
      <c r="S17">
        <v>0</v>
      </c>
      <c r="T17">
        <v>0</v>
      </c>
      <c r="U17">
        <v>0.21</v>
      </c>
      <c r="V17">
        <v>0.21</v>
      </c>
      <c r="W17">
        <v>0</v>
      </c>
      <c r="X17">
        <v>0</v>
      </c>
      <c r="Y17">
        <v>0.21</v>
      </c>
      <c r="Z17">
        <v>0.21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0.5</v>
      </c>
      <c r="AL17">
        <v>1</v>
      </c>
      <c r="AM17">
        <v>0.5</v>
      </c>
      <c r="AN17">
        <v>1</v>
      </c>
      <c r="AO17" t="s">
        <v>55</v>
      </c>
      <c r="AP17" t="s">
        <v>56</v>
      </c>
    </row>
    <row r="18" spans="1:42">
      <c r="A18" t="s">
        <v>62</v>
      </c>
      <c r="B18">
        <v>0</v>
      </c>
      <c r="C18">
        <v>0.01</v>
      </c>
      <c r="D18">
        <v>5.22</v>
      </c>
      <c r="E18">
        <v>5.23</v>
      </c>
      <c r="F18">
        <v>0</v>
      </c>
      <c r="G18">
        <v>0</v>
      </c>
      <c r="H18">
        <v>0.34</v>
      </c>
      <c r="I18">
        <v>0.34</v>
      </c>
      <c r="J18">
        <v>0</v>
      </c>
      <c r="K18">
        <v>0</v>
      </c>
      <c r="L18">
        <v>0</v>
      </c>
      <c r="M18">
        <v>0</v>
      </c>
      <c r="N18">
        <v>5.57</v>
      </c>
      <c r="O18">
        <v>0</v>
      </c>
      <c r="P18">
        <v>0</v>
      </c>
      <c r="Q18">
        <v>0.71</v>
      </c>
      <c r="R18">
        <v>0.71</v>
      </c>
      <c r="S18">
        <v>0</v>
      </c>
      <c r="T18">
        <v>0.01</v>
      </c>
      <c r="U18">
        <v>4.01</v>
      </c>
      <c r="V18">
        <v>4.02</v>
      </c>
      <c r="W18">
        <v>0</v>
      </c>
      <c r="X18">
        <v>0</v>
      </c>
      <c r="Y18">
        <v>0.65</v>
      </c>
      <c r="Z18">
        <v>0.65</v>
      </c>
      <c r="AA18">
        <v>0</v>
      </c>
      <c r="AB18">
        <v>0</v>
      </c>
      <c r="AC18">
        <v>0.19</v>
      </c>
      <c r="AD18">
        <v>0.19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5.23</v>
      </c>
      <c r="AL18">
        <v>0.939</v>
      </c>
      <c r="AM18">
        <v>5.38</v>
      </c>
      <c r="AN18">
        <v>1</v>
      </c>
      <c r="AO18" t="s">
        <v>51</v>
      </c>
      <c r="AP18" t="s">
        <v>56</v>
      </c>
    </row>
    <row r="19" spans="1:42">
      <c r="A19" t="s">
        <v>63</v>
      </c>
      <c r="B19">
        <v>0</v>
      </c>
      <c r="C19">
        <v>0.04</v>
      </c>
      <c r="D19">
        <v>1.24</v>
      </c>
      <c r="E19">
        <v>1.28</v>
      </c>
      <c r="F19">
        <v>0</v>
      </c>
      <c r="G19">
        <v>0</v>
      </c>
      <c r="H19">
        <v>0.06</v>
      </c>
      <c r="I19">
        <v>0.06</v>
      </c>
      <c r="J19">
        <v>0</v>
      </c>
      <c r="K19">
        <v>0</v>
      </c>
      <c r="L19">
        <v>0</v>
      </c>
      <c r="M19">
        <v>0</v>
      </c>
      <c r="N19">
        <v>1.33</v>
      </c>
      <c r="O19">
        <v>0</v>
      </c>
      <c r="P19">
        <v>0</v>
      </c>
      <c r="Q19">
        <v>0</v>
      </c>
      <c r="R19">
        <v>0</v>
      </c>
      <c r="S19">
        <v>0</v>
      </c>
      <c r="T19">
        <v>0.04</v>
      </c>
      <c r="U19">
        <v>0</v>
      </c>
      <c r="V19">
        <v>0.04</v>
      </c>
      <c r="W19">
        <v>0</v>
      </c>
      <c r="X19">
        <v>0</v>
      </c>
      <c r="Y19">
        <v>1.29</v>
      </c>
      <c r="Z19">
        <v>1.29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0.04</v>
      </c>
      <c r="AK19">
        <v>1.28</v>
      </c>
      <c r="AL19">
        <v>0.962</v>
      </c>
      <c r="AM19">
        <v>1.33</v>
      </c>
      <c r="AN19">
        <v>1</v>
      </c>
      <c r="AO19" t="s">
        <v>51</v>
      </c>
      <c r="AP19" t="s">
        <v>56</v>
      </c>
    </row>
    <row r="20" spans="1:42">
      <c r="A20" t="s">
        <v>64</v>
      </c>
      <c r="B20">
        <v>0</v>
      </c>
      <c r="C20">
        <v>0.15</v>
      </c>
      <c r="D20">
        <v>0</v>
      </c>
      <c r="E20">
        <v>0.15</v>
      </c>
      <c r="F20">
        <v>0</v>
      </c>
      <c r="G20">
        <v>15.09</v>
      </c>
      <c r="H20">
        <v>5.13</v>
      </c>
      <c r="I20">
        <v>20.22</v>
      </c>
      <c r="J20">
        <v>0</v>
      </c>
      <c r="K20">
        <v>8.42</v>
      </c>
      <c r="L20">
        <v>1.42</v>
      </c>
      <c r="M20">
        <v>9.84</v>
      </c>
      <c r="N20">
        <v>30.21</v>
      </c>
      <c r="O20">
        <v>0</v>
      </c>
      <c r="P20">
        <v>22.02</v>
      </c>
      <c r="Q20">
        <v>6.09</v>
      </c>
      <c r="R20">
        <v>28.11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0.17</v>
      </c>
      <c r="Z20">
        <v>0.17</v>
      </c>
      <c r="AA20">
        <v>0</v>
      </c>
      <c r="AB20">
        <v>1.64</v>
      </c>
      <c r="AC20">
        <v>0.29</v>
      </c>
      <c r="AD20">
        <v>1.93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0.15</v>
      </c>
      <c r="AL20">
        <v>0.005</v>
      </c>
      <c r="AM20">
        <v>28.28</v>
      </c>
      <c r="AN20">
        <v>1</v>
      </c>
      <c r="AO20" t="s">
        <v>43</v>
      </c>
      <c r="AP20" t="s">
        <v>65</v>
      </c>
    </row>
    <row r="21" spans="1:42">
      <c r="A21" t="s">
        <v>66</v>
      </c>
      <c r="B21">
        <v>0</v>
      </c>
      <c r="C21">
        <v>0</v>
      </c>
      <c r="D21">
        <v>0</v>
      </c>
      <c r="E21">
        <v>0</v>
      </c>
      <c r="F21">
        <v>0</v>
      </c>
      <c r="G21">
        <v>4.74</v>
      </c>
      <c r="H21">
        <v>0</v>
      </c>
      <c r="I21">
        <v>4.74</v>
      </c>
      <c r="J21">
        <v>0</v>
      </c>
      <c r="K21">
        <v>0.37</v>
      </c>
      <c r="L21">
        <v>0</v>
      </c>
      <c r="M21">
        <v>0.37</v>
      </c>
      <c r="N21">
        <v>5.11</v>
      </c>
      <c r="O21">
        <v>0</v>
      </c>
      <c r="P21">
        <v>4.76</v>
      </c>
      <c r="Q21">
        <v>0</v>
      </c>
      <c r="R21">
        <v>4.76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0.47</v>
      </c>
      <c r="AC21">
        <v>0</v>
      </c>
      <c r="AD21">
        <v>0.47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4.76</v>
      </c>
      <c r="AN21">
        <v>1.023</v>
      </c>
      <c r="AO21" t="s">
        <v>51</v>
      </c>
      <c r="AP21" t="s">
        <v>65</v>
      </c>
    </row>
    <row r="22" spans="1:42">
      <c r="A22" t="s">
        <v>67</v>
      </c>
      <c r="B22">
        <v>0</v>
      </c>
      <c r="C22">
        <v>0.1</v>
      </c>
      <c r="D22">
        <v>0.31</v>
      </c>
      <c r="E22">
        <v>0.41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0.41</v>
      </c>
      <c r="O22">
        <v>0</v>
      </c>
      <c r="P22">
        <v>0</v>
      </c>
      <c r="Q22">
        <v>0.21</v>
      </c>
      <c r="R22">
        <v>0.21</v>
      </c>
      <c r="S22">
        <v>0</v>
      </c>
      <c r="T22">
        <v>0.1</v>
      </c>
      <c r="U22">
        <v>0</v>
      </c>
      <c r="V22">
        <v>0.1</v>
      </c>
      <c r="W22">
        <v>0</v>
      </c>
      <c r="X22">
        <v>0</v>
      </c>
      <c r="Y22">
        <v>0.04</v>
      </c>
      <c r="Z22">
        <v>0.04</v>
      </c>
      <c r="AA22">
        <v>0</v>
      </c>
      <c r="AB22">
        <v>0</v>
      </c>
      <c r="AC22">
        <v>0.06</v>
      </c>
      <c r="AD22">
        <v>0.06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0.41</v>
      </c>
      <c r="AL22">
        <v>1</v>
      </c>
      <c r="AM22">
        <v>0.35</v>
      </c>
      <c r="AN22">
        <v>1</v>
      </c>
      <c r="AO22" t="s">
        <v>55</v>
      </c>
      <c r="AP22" t="s">
        <v>65</v>
      </c>
    </row>
    <row r="23" spans="1:42">
      <c r="A23" t="s">
        <v>68</v>
      </c>
      <c r="B23">
        <v>0</v>
      </c>
      <c r="C23">
        <v>0.16</v>
      </c>
      <c r="D23">
        <v>0</v>
      </c>
      <c r="E23">
        <v>0.16</v>
      </c>
      <c r="F23">
        <v>0</v>
      </c>
      <c r="G23">
        <v>0.11</v>
      </c>
      <c r="H23">
        <v>0</v>
      </c>
      <c r="I23">
        <v>0.11</v>
      </c>
      <c r="J23">
        <v>0</v>
      </c>
      <c r="K23">
        <v>0</v>
      </c>
      <c r="L23">
        <v>0</v>
      </c>
      <c r="M23">
        <v>0</v>
      </c>
      <c r="N23">
        <v>0.27</v>
      </c>
      <c r="O23">
        <v>0</v>
      </c>
      <c r="P23">
        <v>0.27</v>
      </c>
      <c r="Q23">
        <v>0</v>
      </c>
      <c r="R23">
        <v>0.27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0.16</v>
      </c>
      <c r="AL23">
        <v>0.593</v>
      </c>
      <c r="AM23">
        <v>0.27</v>
      </c>
      <c r="AN23">
        <v>1</v>
      </c>
      <c r="AO23" t="s">
        <v>55</v>
      </c>
      <c r="AP23" t="s">
        <v>65</v>
      </c>
    </row>
    <row r="24" spans="1:42">
      <c r="A24" t="s">
        <v>69</v>
      </c>
      <c r="B24">
        <v>0</v>
      </c>
      <c r="C24">
        <v>0.06</v>
      </c>
      <c r="D24">
        <v>0.31</v>
      </c>
      <c r="E24">
        <v>0.37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0.37</v>
      </c>
      <c r="O24">
        <v>0</v>
      </c>
      <c r="P24">
        <v>0</v>
      </c>
      <c r="Q24">
        <v>0.09</v>
      </c>
      <c r="R24">
        <v>0.09</v>
      </c>
      <c r="S24">
        <v>0</v>
      </c>
      <c r="T24">
        <v>0.02</v>
      </c>
      <c r="U24">
        <v>0.29</v>
      </c>
      <c r="V24">
        <v>0.31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0.37</v>
      </c>
      <c r="AL24">
        <v>1</v>
      </c>
      <c r="AM24">
        <v>0.4</v>
      </c>
      <c r="AN24">
        <v>1.081</v>
      </c>
      <c r="AO24" t="s">
        <v>55</v>
      </c>
      <c r="AP24" t="s">
        <v>69</v>
      </c>
    </row>
    <row r="25" spans="1:42">
      <c r="A25" t="s">
        <v>70</v>
      </c>
      <c r="B25">
        <v>0</v>
      </c>
      <c r="C25">
        <v>0</v>
      </c>
      <c r="D25">
        <v>0.4</v>
      </c>
      <c r="E25">
        <v>0.4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</v>
      </c>
      <c r="O25">
        <v>0</v>
      </c>
      <c r="P25">
        <v>0</v>
      </c>
      <c r="Q25">
        <v>0.01</v>
      </c>
      <c r="R25">
        <v>0.01</v>
      </c>
      <c r="S25">
        <v>0</v>
      </c>
      <c r="T25">
        <v>0</v>
      </c>
      <c r="U25">
        <v>0.05</v>
      </c>
      <c r="V25">
        <v>0.05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0.4</v>
      </c>
      <c r="AL25">
        <v>1</v>
      </c>
      <c r="AM25">
        <v>0.06</v>
      </c>
      <c r="AN25">
        <v>0.15</v>
      </c>
      <c r="AO25" t="s">
        <v>55</v>
      </c>
      <c r="AP25" t="s">
        <v>69</v>
      </c>
    </row>
    <row r="26" spans="1:42">
      <c r="A26" t="s">
        <v>71</v>
      </c>
      <c r="B26">
        <v>0</v>
      </c>
      <c r="C26">
        <v>0</v>
      </c>
      <c r="D26">
        <v>0.45</v>
      </c>
      <c r="E26">
        <v>0.45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0.45</v>
      </c>
      <c r="AL26">
        <v>1</v>
      </c>
      <c r="AM26">
        <v>0</v>
      </c>
      <c r="AN26">
        <v>0</v>
      </c>
      <c r="AO26" t="s">
        <v>55</v>
      </c>
      <c r="AP26" t="s">
        <v>69</v>
      </c>
    </row>
    <row r="27" spans="1:42">
      <c r="A27" t="s">
        <v>72</v>
      </c>
      <c r="B27">
        <v>0</v>
      </c>
      <c r="C27">
        <v>0.02</v>
      </c>
      <c r="D27">
        <v>1.24</v>
      </c>
      <c r="E27">
        <v>1.26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1.26</v>
      </c>
      <c r="O27">
        <v>0</v>
      </c>
      <c r="P27">
        <v>0.07</v>
      </c>
      <c r="Q27">
        <v>0.16</v>
      </c>
      <c r="R27">
        <v>0.23</v>
      </c>
      <c r="S27">
        <v>0</v>
      </c>
      <c r="T27">
        <v>0</v>
      </c>
      <c r="U27">
        <v>0.46</v>
      </c>
      <c r="V27">
        <v>0.46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1.26</v>
      </c>
      <c r="AL27">
        <v>1</v>
      </c>
      <c r="AM27">
        <v>0.69</v>
      </c>
      <c r="AN27">
        <v>0.548</v>
      </c>
      <c r="AO27" t="s">
        <v>51</v>
      </c>
      <c r="AP27" t="s">
        <v>69</v>
      </c>
    </row>
    <row r="28" spans="1:42">
      <c r="A28" t="s">
        <v>73</v>
      </c>
      <c r="B28">
        <v>0</v>
      </c>
      <c r="C28">
        <v>0</v>
      </c>
      <c r="D28">
        <v>1.13</v>
      </c>
      <c r="E28">
        <v>1.13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1.13</v>
      </c>
      <c r="O28">
        <v>0</v>
      </c>
      <c r="P28">
        <v>0</v>
      </c>
      <c r="Q28">
        <v>0.76</v>
      </c>
      <c r="R28">
        <v>0.76</v>
      </c>
      <c r="S28">
        <v>0</v>
      </c>
      <c r="T28">
        <v>0</v>
      </c>
      <c r="U28">
        <v>0.32</v>
      </c>
      <c r="V28">
        <v>0.32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1.13</v>
      </c>
      <c r="AL28">
        <v>1</v>
      </c>
      <c r="AM28">
        <v>1.08</v>
      </c>
      <c r="AN28">
        <v>0.956</v>
      </c>
      <c r="AO28" t="s">
        <v>51</v>
      </c>
      <c r="AP28" t="s">
        <v>69</v>
      </c>
    </row>
    <row r="29" spans="1:42">
      <c r="A29" t="s">
        <v>74</v>
      </c>
      <c r="B29">
        <v>0</v>
      </c>
      <c r="C29">
        <v>0.02</v>
      </c>
      <c r="D29">
        <v>1.89</v>
      </c>
      <c r="E29">
        <v>1.91</v>
      </c>
      <c r="F29">
        <v>0</v>
      </c>
      <c r="G29">
        <v>0.01</v>
      </c>
      <c r="H29">
        <v>3.26</v>
      </c>
      <c r="I29">
        <v>3.27</v>
      </c>
      <c r="J29">
        <v>0</v>
      </c>
      <c r="K29">
        <v>0</v>
      </c>
      <c r="L29">
        <v>1.64</v>
      </c>
      <c r="M29">
        <v>1.64</v>
      </c>
      <c r="N29">
        <v>6.82</v>
      </c>
      <c r="O29">
        <v>0</v>
      </c>
      <c r="P29">
        <v>0.05</v>
      </c>
      <c r="Q29">
        <v>2.91</v>
      </c>
      <c r="R29">
        <v>2.96</v>
      </c>
      <c r="S29">
        <v>0</v>
      </c>
      <c r="T29">
        <v>0</v>
      </c>
      <c r="U29">
        <v>0.55</v>
      </c>
      <c r="V29">
        <v>0.55</v>
      </c>
      <c r="W29">
        <v>0</v>
      </c>
      <c r="X29">
        <v>0</v>
      </c>
      <c r="Y29">
        <v>0.91</v>
      </c>
      <c r="Z29">
        <v>0.91</v>
      </c>
      <c r="AA29">
        <v>0</v>
      </c>
      <c r="AB29">
        <v>0</v>
      </c>
      <c r="AC29">
        <v>0.26</v>
      </c>
      <c r="AD29">
        <v>0.26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0.02</v>
      </c>
      <c r="AK29">
        <v>1.91</v>
      </c>
      <c r="AL29">
        <v>0.28</v>
      </c>
      <c r="AM29">
        <v>4.42</v>
      </c>
      <c r="AN29">
        <v>0.686</v>
      </c>
      <c r="AO29" t="s">
        <v>51</v>
      </c>
      <c r="AP29" t="s">
        <v>74</v>
      </c>
    </row>
    <row r="30" spans="1:42">
      <c r="A30" t="s">
        <v>75</v>
      </c>
      <c r="B30">
        <v>0</v>
      </c>
      <c r="C30">
        <v>0.1</v>
      </c>
      <c r="D30">
        <v>1.01</v>
      </c>
      <c r="E30">
        <v>1.11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1.11</v>
      </c>
      <c r="O30">
        <v>0</v>
      </c>
      <c r="P30">
        <v>0.07</v>
      </c>
      <c r="Q30">
        <v>0.14</v>
      </c>
      <c r="R30">
        <v>0.2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0.04</v>
      </c>
      <c r="AC30">
        <v>0</v>
      </c>
      <c r="AD30">
        <v>0.04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1.11</v>
      </c>
      <c r="AL30">
        <v>1</v>
      </c>
      <c r="AM30">
        <v>0.2</v>
      </c>
      <c r="AN30">
        <v>0.216</v>
      </c>
      <c r="AO30" t="s">
        <v>51</v>
      </c>
      <c r="AP30" t="s">
        <v>74</v>
      </c>
    </row>
    <row r="31" spans="1:42">
      <c r="A31" t="s">
        <v>76</v>
      </c>
      <c r="B31">
        <v>0</v>
      </c>
      <c r="C31">
        <v>0.3</v>
      </c>
      <c r="D31">
        <v>1.5</v>
      </c>
      <c r="E31">
        <v>1.8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1.8</v>
      </c>
      <c r="O31">
        <v>0</v>
      </c>
      <c r="P31">
        <v>0.02</v>
      </c>
      <c r="Q31">
        <v>0.03</v>
      </c>
      <c r="R31">
        <v>0.05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0.02</v>
      </c>
      <c r="AC31">
        <v>0</v>
      </c>
      <c r="AD31">
        <v>0.02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1.8</v>
      </c>
      <c r="AL31">
        <v>1</v>
      </c>
      <c r="AM31">
        <v>0.05</v>
      </c>
      <c r="AN31">
        <v>0.039</v>
      </c>
      <c r="AO31" t="s">
        <v>51</v>
      </c>
      <c r="AP31" t="s">
        <v>74</v>
      </c>
    </row>
    <row r="32" spans="1:42">
      <c r="A32" t="s">
        <v>77</v>
      </c>
      <c r="B32">
        <v>0</v>
      </c>
      <c r="C32">
        <v>0</v>
      </c>
      <c r="D32">
        <v>0.37</v>
      </c>
      <c r="E32">
        <v>0.37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0.37</v>
      </c>
      <c r="O32">
        <v>0</v>
      </c>
      <c r="P32">
        <v>0</v>
      </c>
      <c r="Q32">
        <v>0.02</v>
      </c>
      <c r="R32">
        <v>0.02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0.37</v>
      </c>
      <c r="AL32">
        <v>1</v>
      </c>
      <c r="AM32">
        <v>0.02</v>
      </c>
      <c r="AN32">
        <v>0.054</v>
      </c>
      <c r="AO32" t="s">
        <v>55</v>
      </c>
      <c r="AP32" t="s">
        <v>74</v>
      </c>
    </row>
    <row r="33" spans="1:42">
      <c r="A33" t="s">
        <v>78</v>
      </c>
      <c r="B33">
        <v>0</v>
      </c>
      <c r="C33">
        <v>0</v>
      </c>
      <c r="D33">
        <v>0.21</v>
      </c>
      <c r="E33">
        <v>0.21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0.21</v>
      </c>
      <c r="O33">
        <v>0</v>
      </c>
      <c r="P33">
        <v>0.01</v>
      </c>
      <c r="Q33">
        <v>0.42</v>
      </c>
      <c r="R33">
        <v>0.42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0.21</v>
      </c>
      <c r="AL33">
        <v>1</v>
      </c>
      <c r="AM33">
        <v>0.42</v>
      </c>
      <c r="AN33">
        <v>2</v>
      </c>
      <c r="AO33" t="s">
        <v>55</v>
      </c>
      <c r="AP33" t="s">
        <v>74</v>
      </c>
    </row>
    <row r="34" spans="1:42">
      <c r="A34" t="s">
        <v>79</v>
      </c>
      <c r="B34">
        <v>0</v>
      </c>
      <c r="C34">
        <v>0.01</v>
      </c>
      <c r="D34">
        <v>0.01</v>
      </c>
      <c r="E34">
        <v>0.03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0.03</v>
      </c>
      <c r="O34">
        <v>0</v>
      </c>
      <c r="P34">
        <v>0</v>
      </c>
      <c r="Q34">
        <v>0.04</v>
      </c>
      <c r="R34">
        <v>0.04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0.02</v>
      </c>
      <c r="AL34">
        <v>1</v>
      </c>
      <c r="AM34">
        <v>0.04</v>
      </c>
      <c r="AN34">
        <v>1.333</v>
      </c>
      <c r="AO34" t="s">
        <v>55</v>
      </c>
      <c r="AP34" t="s">
        <v>74</v>
      </c>
    </row>
  </sheetData>
  <conditionalFormatting sqref="A$1:A$1048576 AL$1:AL$1048576 AO$1:AO$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topLeftCell="A40" workbookViewId="0">
      <selection activeCell="A1" sqref="A1"/>
    </sheetView>
  </sheetViews>
  <sheetFormatPr defaultColWidth="9" defaultRowHeight="16.8" outlineLevelCol="2"/>
  <sheetData>
    <row r="1" spans="1:3">
      <c r="A1" s="15" t="s">
        <v>0</v>
      </c>
      <c r="B1" s="15" t="s">
        <v>80</v>
      </c>
      <c r="C1" s="15" t="s">
        <v>81</v>
      </c>
    </row>
    <row r="2" spans="1:3">
      <c r="A2" t="s">
        <v>42</v>
      </c>
      <c r="B2" t="s">
        <v>82</v>
      </c>
      <c r="C2">
        <v>0</v>
      </c>
    </row>
    <row r="3" spans="1:3">
      <c r="A3" t="s">
        <v>44</v>
      </c>
      <c r="B3" t="s">
        <v>82</v>
      </c>
      <c r="C3">
        <v>0</v>
      </c>
    </row>
    <row r="4" spans="1:3">
      <c r="A4" t="s">
        <v>45</v>
      </c>
      <c r="B4" t="s">
        <v>82</v>
      </c>
      <c r="C4">
        <v>0</v>
      </c>
    </row>
    <row r="5" spans="1:3">
      <c r="A5" t="s">
        <v>46</v>
      </c>
      <c r="B5" t="s">
        <v>82</v>
      </c>
      <c r="C5">
        <v>0</v>
      </c>
    </row>
    <row r="6" spans="1:3">
      <c r="A6" t="s">
        <v>47</v>
      </c>
      <c r="B6" t="s">
        <v>82</v>
      </c>
      <c r="C6">
        <v>0</v>
      </c>
    </row>
    <row r="7" spans="1:3">
      <c r="A7" t="s">
        <v>48</v>
      </c>
      <c r="B7" t="s">
        <v>82</v>
      </c>
      <c r="C7">
        <v>0</v>
      </c>
    </row>
    <row r="8" spans="1:3">
      <c r="A8" t="s">
        <v>50</v>
      </c>
      <c r="B8" t="s">
        <v>82</v>
      </c>
      <c r="C8">
        <v>0</v>
      </c>
    </row>
    <row r="9" spans="1:3">
      <c r="A9" t="s">
        <v>52</v>
      </c>
      <c r="B9" t="s">
        <v>82</v>
      </c>
      <c r="C9">
        <v>0</v>
      </c>
    </row>
    <row r="10" spans="1:3">
      <c r="A10" t="s">
        <v>53</v>
      </c>
      <c r="B10" t="s">
        <v>82</v>
      </c>
      <c r="C10">
        <v>0</v>
      </c>
    </row>
    <row r="11" spans="1:3">
      <c r="A11" t="s">
        <v>54</v>
      </c>
      <c r="B11" t="s">
        <v>82</v>
      </c>
      <c r="C11">
        <v>0</v>
      </c>
    </row>
    <row r="12" spans="1:3">
      <c r="A12" t="s">
        <v>56</v>
      </c>
      <c r="B12" t="s">
        <v>82</v>
      </c>
      <c r="C12">
        <v>0</v>
      </c>
    </row>
    <row r="13" spans="1:3">
      <c r="A13" t="s">
        <v>57</v>
      </c>
      <c r="B13" t="s">
        <v>82</v>
      </c>
      <c r="C13">
        <v>0</v>
      </c>
    </row>
    <row r="14" spans="1:3">
      <c r="A14" t="s">
        <v>58</v>
      </c>
      <c r="B14" t="s">
        <v>82</v>
      </c>
      <c r="C14">
        <v>0</v>
      </c>
    </row>
    <row r="15" spans="1:3">
      <c r="A15" t="s">
        <v>59</v>
      </c>
      <c r="B15" t="s">
        <v>82</v>
      </c>
      <c r="C15">
        <v>0</v>
      </c>
    </row>
    <row r="16" spans="1:3">
      <c r="A16" t="s">
        <v>60</v>
      </c>
      <c r="B16" t="s">
        <v>82</v>
      </c>
      <c r="C16">
        <v>0</v>
      </c>
    </row>
    <row r="17" spans="1:3">
      <c r="A17" t="s">
        <v>61</v>
      </c>
      <c r="B17" t="s">
        <v>82</v>
      </c>
      <c r="C17">
        <v>0</v>
      </c>
    </row>
    <row r="18" spans="1:3">
      <c r="A18" t="s">
        <v>62</v>
      </c>
      <c r="B18" t="s">
        <v>82</v>
      </c>
      <c r="C18">
        <v>0</v>
      </c>
    </row>
    <row r="19" spans="1:3">
      <c r="A19" t="s">
        <v>63</v>
      </c>
      <c r="B19" t="s">
        <v>82</v>
      </c>
      <c r="C19">
        <v>0</v>
      </c>
    </row>
    <row r="20" spans="1:3">
      <c r="A20" t="s">
        <v>64</v>
      </c>
      <c r="B20" t="s">
        <v>82</v>
      </c>
      <c r="C20">
        <v>0</v>
      </c>
    </row>
    <row r="21" spans="1:3">
      <c r="A21" t="s">
        <v>66</v>
      </c>
      <c r="B21" t="s">
        <v>82</v>
      </c>
      <c r="C21">
        <v>0</v>
      </c>
    </row>
    <row r="22" spans="1:3">
      <c r="A22" t="s">
        <v>67</v>
      </c>
      <c r="B22" t="s">
        <v>82</v>
      </c>
      <c r="C22">
        <v>0</v>
      </c>
    </row>
    <row r="23" spans="1:3">
      <c r="A23" t="s">
        <v>68</v>
      </c>
      <c r="B23" t="s">
        <v>82</v>
      </c>
      <c r="C23">
        <v>0</v>
      </c>
    </row>
    <row r="24" spans="1:3">
      <c r="A24" t="s">
        <v>69</v>
      </c>
      <c r="B24" t="s">
        <v>82</v>
      </c>
      <c r="C24">
        <v>0</v>
      </c>
    </row>
    <row r="25" spans="1:3">
      <c r="A25" t="s">
        <v>70</v>
      </c>
      <c r="B25" t="s">
        <v>82</v>
      </c>
      <c r="C25">
        <v>0</v>
      </c>
    </row>
    <row r="26" spans="1:3">
      <c r="A26" t="s">
        <v>71</v>
      </c>
      <c r="B26" t="s">
        <v>82</v>
      </c>
      <c r="C26">
        <v>0</v>
      </c>
    </row>
    <row r="27" spans="1:3">
      <c r="A27" t="s">
        <v>72</v>
      </c>
      <c r="B27" t="s">
        <v>82</v>
      </c>
      <c r="C27">
        <v>0</v>
      </c>
    </row>
    <row r="28" spans="1:3">
      <c r="A28" t="s">
        <v>73</v>
      </c>
      <c r="B28" t="s">
        <v>82</v>
      </c>
      <c r="C28">
        <v>0</v>
      </c>
    </row>
    <row r="29" spans="1:3">
      <c r="A29" t="s">
        <v>74</v>
      </c>
      <c r="B29" t="s">
        <v>82</v>
      </c>
      <c r="C29">
        <v>0</v>
      </c>
    </row>
    <row r="30" spans="1:3">
      <c r="A30" t="s">
        <v>75</v>
      </c>
      <c r="B30" t="s">
        <v>82</v>
      </c>
      <c r="C30">
        <v>0</v>
      </c>
    </row>
    <row r="31" spans="1:3">
      <c r="A31" t="s">
        <v>76</v>
      </c>
      <c r="B31" t="s">
        <v>82</v>
      </c>
      <c r="C31">
        <v>0</v>
      </c>
    </row>
    <row r="32" spans="1:3">
      <c r="A32" t="s">
        <v>77</v>
      </c>
      <c r="B32" t="s">
        <v>82</v>
      </c>
      <c r="C32">
        <v>0</v>
      </c>
    </row>
    <row r="33" spans="1:3">
      <c r="A33" t="s">
        <v>78</v>
      </c>
      <c r="B33" t="s">
        <v>82</v>
      </c>
      <c r="C33">
        <v>0</v>
      </c>
    </row>
    <row r="34" spans="1:3">
      <c r="A34" t="s">
        <v>79</v>
      </c>
      <c r="B34" t="s">
        <v>82</v>
      </c>
      <c r="C34">
        <v>0</v>
      </c>
    </row>
    <row r="35" spans="1:3">
      <c r="A35" t="s">
        <v>42</v>
      </c>
      <c r="B35" t="s">
        <v>83</v>
      </c>
      <c r="C35">
        <v>5.8</v>
      </c>
    </row>
    <row r="36" spans="1:3">
      <c r="A36" t="s">
        <v>44</v>
      </c>
      <c r="B36" t="s">
        <v>83</v>
      </c>
      <c r="C36">
        <v>4.17</v>
      </c>
    </row>
    <row r="37" spans="1:3">
      <c r="A37" t="s">
        <v>45</v>
      </c>
      <c r="B37" t="s">
        <v>83</v>
      </c>
      <c r="C37">
        <v>0.97</v>
      </c>
    </row>
    <row r="38" spans="1:3">
      <c r="A38" t="s">
        <v>46</v>
      </c>
      <c r="B38" t="s">
        <v>83</v>
      </c>
      <c r="C38">
        <v>1.61</v>
      </c>
    </row>
    <row r="39" spans="1:3">
      <c r="A39" t="s">
        <v>47</v>
      </c>
      <c r="B39" t="s">
        <v>83</v>
      </c>
      <c r="C39">
        <v>14.12</v>
      </c>
    </row>
    <row r="40" spans="1:3">
      <c r="A40" t="s">
        <v>48</v>
      </c>
      <c r="B40" t="s">
        <v>83</v>
      </c>
      <c r="C40">
        <v>5.95</v>
      </c>
    </row>
    <row r="41" spans="1:3">
      <c r="A41" t="s">
        <v>50</v>
      </c>
      <c r="B41" t="s">
        <v>83</v>
      </c>
      <c r="C41">
        <v>0.55</v>
      </c>
    </row>
    <row r="42" spans="1:3">
      <c r="A42" t="s">
        <v>52</v>
      </c>
      <c r="B42" t="s">
        <v>83</v>
      </c>
      <c r="C42">
        <v>2.28</v>
      </c>
    </row>
    <row r="43" spans="1:3">
      <c r="A43" t="s">
        <v>53</v>
      </c>
      <c r="B43" t="s">
        <v>83</v>
      </c>
      <c r="C43">
        <v>0.1</v>
      </c>
    </row>
    <row r="44" spans="1:3">
      <c r="A44" t="s">
        <v>54</v>
      </c>
      <c r="B44" t="s">
        <v>83</v>
      </c>
      <c r="C44">
        <v>0</v>
      </c>
    </row>
    <row r="45" spans="1:3">
      <c r="A45" t="s">
        <v>56</v>
      </c>
      <c r="B45" t="s">
        <v>83</v>
      </c>
      <c r="C45">
        <v>0.59</v>
      </c>
    </row>
    <row r="46" spans="1:3">
      <c r="A46" t="s">
        <v>57</v>
      </c>
      <c r="B46" t="s">
        <v>83</v>
      </c>
      <c r="C46">
        <v>0.01</v>
      </c>
    </row>
    <row r="47" spans="1:3">
      <c r="A47" t="s">
        <v>58</v>
      </c>
      <c r="B47" t="s">
        <v>83</v>
      </c>
      <c r="C47">
        <v>1.29</v>
      </c>
    </row>
    <row r="48" spans="1:3">
      <c r="A48" t="s">
        <v>59</v>
      </c>
      <c r="B48" t="s">
        <v>83</v>
      </c>
      <c r="C48">
        <v>0</v>
      </c>
    </row>
    <row r="49" spans="1:3">
      <c r="A49" t="s">
        <v>60</v>
      </c>
      <c r="B49" t="s">
        <v>83</v>
      </c>
      <c r="C49">
        <v>0</v>
      </c>
    </row>
    <row r="50" spans="1:3">
      <c r="A50" t="s">
        <v>61</v>
      </c>
      <c r="B50" t="s">
        <v>83</v>
      </c>
      <c r="C50">
        <v>0</v>
      </c>
    </row>
    <row r="51" spans="1:3">
      <c r="A51" t="s">
        <v>62</v>
      </c>
      <c r="B51" t="s">
        <v>83</v>
      </c>
      <c r="C51">
        <v>0.01</v>
      </c>
    </row>
    <row r="52" spans="1:3">
      <c r="A52" t="s">
        <v>63</v>
      </c>
      <c r="B52" t="s">
        <v>83</v>
      </c>
      <c r="C52">
        <v>0.04</v>
      </c>
    </row>
    <row r="53" spans="1:3">
      <c r="A53" t="s">
        <v>64</v>
      </c>
      <c r="B53" t="s">
        <v>83</v>
      </c>
      <c r="C53">
        <v>0.15</v>
      </c>
    </row>
    <row r="54" spans="1:3">
      <c r="A54" t="s">
        <v>66</v>
      </c>
      <c r="B54" t="s">
        <v>83</v>
      </c>
      <c r="C54">
        <v>0</v>
      </c>
    </row>
    <row r="55" spans="1:3">
      <c r="A55" t="s">
        <v>67</v>
      </c>
      <c r="B55" t="s">
        <v>83</v>
      </c>
      <c r="C55">
        <v>0.1</v>
      </c>
    </row>
    <row r="56" spans="1:3">
      <c r="A56" t="s">
        <v>68</v>
      </c>
      <c r="B56" t="s">
        <v>83</v>
      </c>
      <c r="C56">
        <v>0.16</v>
      </c>
    </row>
    <row r="57" spans="1:3">
      <c r="A57" t="s">
        <v>69</v>
      </c>
      <c r="B57" t="s">
        <v>83</v>
      </c>
      <c r="C57">
        <v>0.06</v>
      </c>
    </row>
    <row r="58" spans="1:3">
      <c r="A58" t="s">
        <v>70</v>
      </c>
      <c r="B58" t="s">
        <v>83</v>
      </c>
      <c r="C58">
        <v>0</v>
      </c>
    </row>
    <row r="59" spans="1:3">
      <c r="A59" t="s">
        <v>71</v>
      </c>
      <c r="B59" t="s">
        <v>83</v>
      </c>
      <c r="C59">
        <v>0</v>
      </c>
    </row>
    <row r="60" spans="1:3">
      <c r="A60" t="s">
        <v>72</v>
      </c>
      <c r="B60" t="s">
        <v>83</v>
      </c>
      <c r="C60">
        <v>0.02</v>
      </c>
    </row>
    <row r="61" spans="1:3">
      <c r="A61" t="s">
        <v>73</v>
      </c>
      <c r="B61" t="s">
        <v>83</v>
      </c>
      <c r="C61">
        <v>0</v>
      </c>
    </row>
    <row r="62" spans="1:3">
      <c r="A62" t="s">
        <v>74</v>
      </c>
      <c r="B62" t="s">
        <v>83</v>
      </c>
      <c r="C62">
        <v>0.02</v>
      </c>
    </row>
    <row r="63" spans="1:3">
      <c r="A63" t="s">
        <v>75</v>
      </c>
      <c r="B63" t="s">
        <v>83</v>
      </c>
      <c r="C63">
        <v>0.1</v>
      </c>
    </row>
    <row r="64" spans="1:3">
      <c r="A64" t="s">
        <v>76</v>
      </c>
      <c r="B64" t="s">
        <v>83</v>
      </c>
      <c r="C64">
        <v>0.3</v>
      </c>
    </row>
    <row r="65" spans="1:3">
      <c r="A65" t="s">
        <v>77</v>
      </c>
      <c r="B65" t="s">
        <v>83</v>
      </c>
      <c r="C65">
        <v>0</v>
      </c>
    </row>
    <row r="66" spans="1:3">
      <c r="A66" t="s">
        <v>78</v>
      </c>
      <c r="B66" t="s">
        <v>83</v>
      </c>
      <c r="C66">
        <v>0</v>
      </c>
    </row>
    <row r="67" spans="1:3">
      <c r="A67" t="s">
        <v>79</v>
      </c>
      <c r="B67" t="s">
        <v>83</v>
      </c>
      <c r="C67">
        <v>0.01</v>
      </c>
    </row>
    <row r="68" spans="1:3">
      <c r="A68" t="s">
        <v>42</v>
      </c>
      <c r="B68" t="s">
        <v>84</v>
      </c>
      <c r="C68">
        <v>23.62</v>
      </c>
    </row>
    <row r="69" spans="1:3">
      <c r="A69" t="s">
        <v>44</v>
      </c>
      <c r="B69" t="s">
        <v>84</v>
      </c>
      <c r="C69">
        <v>10.67</v>
      </c>
    </row>
    <row r="70" spans="1:3">
      <c r="A70" t="s">
        <v>45</v>
      </c>
      <c r="B70" t="s">
        <v>84</v>
      </c>
      <c r="C70">
        <v>15.34</v>
      </c>
    </row>
    <row r="71" spans="1:3">
      <c r="A71" t="s">
        <v>46</v>
      </c>
      <c r="B71" t="s">
        <v>84</v>
      </c>
      <c r="C71">
        <v>12.7</v>
      </c>
    </row>
    <row r="72" spans="1:3">
      <c r="A72" t="s">
        <v>47</v>
      </c>
      <c r="B72" t="s">
        <v>84</v>
      </c>
      <c r="C72">
        <v>0.79</v>
      </c>
    </row>
    <row r="73" spans="1:3">
      <c r="A73" t="s">
        <v>48</v>
      </c>
      <c r="B73" t="s">
        <v>84</v>
      </c>
      <c r="C73">
        <v>31.35</v>
      </c>
    </row>
    <row r="74" spans="1:3">
      <c r="A74" t="s">
        <v>50</v>
      </c>
      <c r="B74" t="s">
        <v>84</v>
      </c>
      <c r="C74">
        <v>6.86</v>
      </c>
    </row>
    <row r="75" spans="1:3">
      <c r="A75" t="s">
        <v>52</v>
      </c>
      <c r="B75" t="s">
        <v>84</v>
      </c>
      <c r="C75">
        <v>0.76</v>
      </c>
    </row>
    <row r="76" spans="1:3">
      <c r="A76" t="s">
        <v>53</v>
      </c>
      <c r="B76" t="s">
        <v>84</v>
      </c>
      <c r="C76">
        <v>1.25</v>
      </c>
    </row>
    <row r="77" spans="1:3">
      <c r="A77" t="s">
        <v>54</v>
      </c>
      <c r="B77" t="s">
        <v>84</v>
      </c>
      <c r="C77">
        <v>0</v>
      </c>
    </row>
    <row r="78" spans="1:3">
      <c r="A78" t="s">
        <v>56</v>
      </c>
      <c r="B78" t="s">
        <v>84</v>
      </c>
      <c r="C78">
        <v>4.84</v>
      </c>
    </row>
    <row r="79" spans="1:3">
      <c r="A79" t="s">
        <v>57</v>
      </c>
      <c r="B79" t="s">
        <v>84</v>
      </c>
      <c r="C79">
        <v>0.48</v>
      </c>
    </row>
    <row r="80" spans="1:3">
      <c r="A80" t="s">
        <v>58</v>
      </c>
      <c r="B80" t="s">
        <v>84</v>
      </c>
      <c r="C80">
        <v>1.57</v>
      </c>
    </row>
    <row r="81" spans="1:3">
      <c r="A81" t="s">
        <v>59</v>
      </c>
      <c r="B81" t="s">
        <v>84</v>
      </c>
      <c r="C81">
        <v>0.15</v>
      </c>
    </row>
    <row r="82" spans="1:3">
      <c r="A82" t="s">
        <v>60</v>
      </c>
      <c r="B82" t="s">
        <v>84</v>
      </c>
      <c r="C82">
        <v>0.24</v>
      </c>
    </row>
    <row r="83" spans="1:3">
      <c r="A83" t="s">
        <v>61</v>
      </c>
      <c r="B83" t="s">
        <v>84</v>
      </c>
      <c r="C83">
        <v>0.5</v>
      </c>
    </row>
    <row r="84" spans="1:3">
      <c r="A84" t="s">
        <v>62</v>
      </c>
      <c r="B84" t="s">
        <v>84</v>
      </c>
      <c r="C84">
        <v>5.22</v>
      </c>
    </row>
    <row r="85" spans="1:3">
      <c r="A85" t="s">
        <v>63</v>
      </c>
      <c r="B85" t="s">
        <v>84</v>
      </c>
      <c r="C85">
        <v>1.24</v>
      </c>
    </row>
    <row r="86" spans="1:3">
      <c r="A86" t="s">
        <v>64</v>
      </c>
      <c r="B86" t="s">
        <v>84</v>
      </c>
      <c r="C86">
        <v>0</v>
      </c>
    </row>
    <row r="87" spans="1:3">
      <c r="A87" t="s">
        <v>66</v>
      </c>
      <c r="B87" t="s">
        <v>84</v>
      </c>
      <c r="C87">
        <v>0</v>
      </c>
    </row>
    <row r="88" spans="1:3">
      <c r="A88" t="s">
        <v>67</v>
      </c>
      <c r="B88" t="s">
        <v>84</v>
      </c>
      <c r="C88">
        <v>0.31</v>
      </c>
    </row>
    <row r="89" spans="1:3">
      <c r="A89" t="s">
        <v>68</v>
      </c>
      <c r="B89" t="s">
        <v>84</v>
      </c>
      <c r="C89">
        <v>0</v>
      </c>
    </row>
    <row r="90" spans="1:3">
      <c r="A90" t="s">
        <v>69</v>
      </c>
      <c r="B90" t="s">
        <v>84</v>
      </c>
      <c r="C90">
        <v>0.31</v>
      </c>
    </row>
    <row r="91" spans="1:3">
      <c r="A91" t="s">
        <v>70</v>
      </c>
      <c r="B91" t="s">
        <v>84</v>
      </c>
      <c r="C91">
        <v>0.4</v>
      </c>
    </row>
    <row r="92" spans="1:3">
      <c r="A92" t="s">
        <v>71</v>
      </c>
      <c r="B92" t="s">
        <v>84</v>
      </c>
      <c r="C92">
        <v>0.45</v>
      </c>
    </row>
    <row r="93" spans="1:3">
      <c r="A93" t="s">
        <v>72</v>
      </c>
      <c r="B93" t="s">
        <v>84</v>
      </c>
      <c r="C93">
        <v>1.24</v>
      </c>
    </row>
    <row r="94" spans="1:3">
      <c r="A94" t="s">
        <v>73</v>
      </c>
      <c r="B94" t="s">
        <v>84</v>
      </c>
      <c r="C94">
        <v>1.13</v>
      </c>
    </row>
    <row r="95" spans="1:3">
      <c r="A95" t="s">
        <v>74</v>
      </c>
      <c r="B95" t="s">
        <v>84</v>
      </c>
      <c r="C95">
        <v>1.89</v>
      </c>
    </row>
    <row r="96" spans="1:3">
      <c r="A96" t="s">
        <v>75</v>
      </c>
      <c r="B96" t="s">
        <v>84</v>
      </c>
      <c r="C96">
        <v>1.01</v>
      </c>
    </row>
    <row r="97" spans="1:3">
      <c r="A97" t="s">
        <v>76</v>
      </c>
      <c r="B97" t="s">
        <v>84</v>
      </c>
      <c r="C97">
        <v>1.5</v>
      </c>
    </row>
    <row r="98" spans="1:3">
      <c r="A98" t="s">
        <v>77</v>
      </c>
      <c r="B98" t="s">
        <v>84</v>
      </c>
      <c r="C98">
        <v>0.37</v>
      </c>
    </row>
    <row r="99" spans="1:3">
      <c r="A99" t="s">
        <v>78</v>
      </c>
      <c r="B99" t="s">
        <v>84</v>
      </c>
      <c r="C99">
        <v>0.21</v>
      </c>
    </row>
    <row r="100" spans="1:3">
      <c r="A100" t="s">
        <v>79</v>
      </c>
      <c r="B100" t="s">
        <v>84</v>
      </c>
      <c r="C100">
        <v>0.01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"/>
  <sheetViews>
    <sheetView workbookViewId="0">
      <selection activeCell="N8" sqref="N8"/>
    </sheetView>
  </sheetViews>
  <sheetFormatPr defaultColWidth="9" defaultRowHeight="16.8"/>
  <sheetData>
    <row r="1" spans="1:3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</row>
    <row r="2" spans="1:36">
      <c r="A2" t="s">
        <v>85</v>
      </c>
      <c r="B2">
        <v>0</v>
      </c>
      <c r="C2">
        <v>26.66</v>
      </c>
      <c r="D2">
        <v>63.1</v>
      </c>
      <c r="E2">
        <v>89.76</v>
      </c>
      <c r="F2">
        <v>0</v>
      </c>
      <c r="G2">
        <v>3.23</v>
      </c>
      <c r="H2">
        <v>62.01</v>
      </c>
      <c r="I2">
        <v>65.23</v>
      </c>
      <c r="J2">
        <v>0</v>
      </c>
      <c r="K2">
        <v>3.42</v>
      </c>
      <c r="L2">
        <v>1.5</v>
      </c>
      <c r="M2">
        <v>4.92</v>
      </c>
      <c r="N2">
        <v>159.91</v>
      </c>
      <c r="O2">
        <v>0</v>
      </c>
      <c r="P2">
        <v>20.06</v>
      </c>
      <c r="Q2">
        <v>20.12</v>
      </c>
      <c r="R2">
        <v>40.18</v>
      </c>
      <c r="S2">
        <v>0</v>
      </c>
      <c r="T2">
        <v>7.95</v>
      </c>
      <c r="U2">
        <v>30.08</v>
      </c>
      <c r="V2">
        <v>38.03</v>
      </c>
      <c r="W2">
        <v>0</v>
      </c>
      <c r="X2">
        <v>0.16</v>
      </c>
      <c r="Y2">
        <v>5.86</v>
      </c>
      <c r="Z2">
        <v>6.01</v>
      </c>
      <c r="AA2">
        <v>0</v>
      </c>
      <c r="AB2">
        <v>0.71</v>
      </c>
      <c r="AC2">
        <v>29.83</v>
      </c>
      <c r="AD2">
        <v>30.54</v>
      </c>
      <c r="AE2">
        <v>0</v>
      </c>
      <c r="AF2">
        <v>4.37</v>
      </c>
      <c r="AG2">
        <v>41.27</v>
      </c>
      <c r="AH2">
        <v>45.64</v>
      </c>
      <c r="AI2">
        <v>0</v>
      </c>
      <c r="AJ2">
        <v>0.53</v>
      </c>
    </row>
    <row r="3" spans="1:36">
      <c r="A3" t="s">
        <v>86</v>
      </c>
      <c r="B3">
        <v>0</v>
      </c>
      <c r="C3">
        <v>8.88</v>
      </c>
      <c r="D3">
        <v>40.22</v>
      </c>
      <c r="E3">
        <v>49.1</v>
      </c>
      <c r="F3">
        <v>0</v>
      </c>
      <c r="G3">
        <v>1.37</v>
      </c>
      <c r="H3">
        <v>5.52</v>
      </c>
      <c r="I3">
        <v>6.89</v>
      </c>
      <c r="J3">
        <v>0</v>
      </c>
      <c r="K3">
        <v>0</v>
      </c>
      <c r="L3">
        <v>0</v>
      </c>
      <c r="M3">
        <v>0</v>
      </c>
      <c r="N3">
        <v>55.99</v>
      </c>
      <c r="O3">
        <v>0</v>
      </c>
      <c r="P3">
        <v>3.02</v>
      </c>
      <c r="Q3">
        <v>4.55</v>
      </c>
      <c r="R3">
        <v>7.57</v>
      </c>
      <c r="S3">
        <v>0</v>
      </c>
      <c r="T3">
        <v>2.25</v>
      </c>
      <c r="U3">
        <v>27.16</v>
      </c>
      <c r="V3">
        <v>29.41</v>
      </c>
      <c r="W3">
        <v>0</v>
      </c>
      <c r="X3">
        <v>1.31</v>
      </c>
      <c r="Y3">
        <v>2.57</v>
      </c>
      <c r="Z3">
        <v>3.88</v>
      </c>
      <c r="AA3">
        <v>0</v>
      </c>
      <c r="AB3">
        <v>0.37</v>
      </c>
      <c r="AC3">
        <v>2.06</v>
      </c>
      <c r="AD3">
        <v>2.43</v>
      </c>
      <c r="AE3">
        <v>0</v>
      </c>
      <c r="AF3">
        <v>2.07</v>
      </c>
      <c r="AG3">
        <v>9.37</v>
      </c>
      <c r="AH3">
        <v>11.44</v>
      </c>
      <c r="AI3">
        <v>0</v>
      </c>
      <c r="AJ3">
        <v>0</v>
      </c>
    </row>
    <row r="4" spans="1:36">
      <c r="A4" t="s">
        <v>87</v>
      </c>
      <c r="B4">
        <v>0</v>
      </c>
      <c r="C4">
        <v>1.92</v>
      </c>
      <c r="D4">
        <v>14.24</v>
      </c>
      <c r="E4">
        <v>16.16</v>
      </c>
      <c r="F4">
        <v>0</v>
      </c>
      <c r="G4">
        <v>0</v>
      </c>
      <c r="H4">
        <v>0.48</v>
      </c>
      <c r="I4">
        <v>0.48</v>
      </c>
      <c r="J4">
        <v>0</v>
      </c>
      <c r="K4">
        <v>0</v>
      </c>
      <c r="L4">
        <v>0</v>
      </c>
      <c r="M4">
        <v>0</v>
      </c>
      <c r="N4">
        <v>16.64</v>
      </c>
      <c r="O4">
        <v>0</v>
      </c>
      <c r="P4">
        <v>0.31</v>
      </c>
      <c r="Q4">
        <v>1</v>
      </c>
      <c r="R4">
        <v>1.32</v>
      </c>
      <c r="S4">
        <v>0</v>
      </c>
      <c r="T4">
        <v>1.53</v>
      </c>
      <c r="U4">
        <v>10.02</v>
      </c>
      <c r="V4">
        <v>11.55</v>
      </c>
      <c r="W4">
        <v>0</v>
      </c>
      <c r="X4">
        <v>0.06</v>
      </c>
      <c r="Y4">
        <v>3.44</v>
      </c>
      <c r="Z4">
        <v>3.5</v>
      </c>
      <c r="AA4">
        <v>0</v>
      </c>
      <c r="AB4">
        <v>0.03</v>
      </c>
      <c r="AC4">
        <v>0.26</v>
      </c>
      <c r="AD4">
        <v>0.29</v>
      </c>
      <c r="AE4">
        <v>0</v>
      </c>
      <c r="AF4">
        <v>0</v>
      </c>
      <c r="AG4">
        <v>0</v>
      </c>
      <c r="AH4">
        <v>0</v>
      </c>
      <c r="AI4">
        <v>0</v>
      </c>
      <c r="AJ4">
        <v>0.5</v>
      </c>
    </row>
    <row r="5" spans="1:36">
      <c r="A5" t="s">
        <v>88</v>
      </c>
      <c r="B5">
        <v>0</v>
      </c>
      <c r="C5">
        <v>0.41</v>
      </c>
      <c r="D5">
        <v>0.31</v>
      </c>
      <c r="E5">
        <v>0.72</v>
      </c>
      <c r="F5">
        <v>0</v>
      </c>
      <c r="G5">
        <v>19.94</v>
      </c>
      <c r="H5">
        <v>5.13</v>
      </c>
      <c r="I5">
        <v>25.07</v>
      </c>
      <c r="J5">
        <v>0</v>
      </c>
      <c r="K5">
        <v>8.79</v>
      </c>
      <c r="L5">
        <v>1.42</v>
      </c>
      <c r="M5">
        <v>10.21</v>
      </c>
      <c r="N5">
        <v>36</v>
      </c>
      <c r="O5">
        <v>0</v>
      </c>
      <c r="P5">
        <v>27.05</v>
      </c>
      <c r="Q5">
        <v>6.3</v>
      </c>
      <c r="R5">
        <v>33.35</v>
      </c>
      <c r="S5">
        <v>0</v>
      </c>
      <c r="T5">
        <v>0.1</v>
      </c>
      <c r="U5">
        <v>0</v>
      </c>
      <c r="V5">
        <v>0.1</v>
      </c>
      <c r="W5">
        <v>0</v>
      </c>
      <c r="X5">
        <v>0</v>
      </c>
      <c r="Y5">
        <v>0.21</v>
      </c>
      <c r="Z5">
        <v>0.21</v>
      </c>
      <c r="AA5">
        <v>0</v>
      </c>
      <c r="AB5">
        <v>2.11</v>
      </c>
      <c r="AC5">
        <v>0.35</v>
      </c>
      <c r="AD5">
        <v>2.46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89</v>
      </c>
      <c r="B6">
        <v>0</v>
      </c>
      <c r="C6">
        <v>0.08</v>
      </c>
      <c r="D6">
        <v>3.53</v>
      </c>
      <c r="E6">
        <v>3.61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3.61</v>
      </c>
      <c r="O6">
        <v>0</v>
      </c>
      <c r="P6">
        <v>0.07</v>
      </c>
      <c r="Q6">
        <v>1.02</v>
      </c>
      <c r="R6">
        <v>1.09</v>
      </c>
      <c r="S6">
        <v>0</v>
      </c>
      <c r="T6">
        <v>0.02</v>
      </c>
      <c r="U6">
        <v>1.12</v>
      </c>
      <c r="V6">
        <v>1.14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90</v>
      </c>
      <c r="B7">
        <v>0</v>
      </c>
      <c r="C7">
        <v>0.43</v>
      </c>
      <c r="D7">
        <v>4.99</v>
      </c>
      <c r="E7">
        <v>5.43</v>
      </c>
      <c r="F7">
        <v>0</v>
      </c>
      <c r="G7">
        <v>0.01</v>
      </c>
      <c r="H7">
        <v>3.26</v>
      </c>
      <c r="I7">
        <v>3.27</v>
      </c>
      <c r="J7">
        <v>0</v>
      </c>
      <c r="K7">
        <v>0</v>
      </c>
      <c r="L7">
        <v>1.64</v>
      </c>
      <c r="M7">
        <v>1.64</v>
      </c>
      <c r="N7">
        <v>10.34</v>
      </c>
      <c r="O7">
        <v>0</v>
      </c>
      <c r="P7">
        <v>0.14</v>
      </c>
      <c r="Q7">
        <v>3.55</v>
      </c>
      <c r="R7">
        <v>3.69</v>
      </c>
      <c r="S7">
        <v>0</v>
      </c>
      <c r="T7">
        <v>0</v>
      </c>
      <c r="U7">
        <v>0.55</v>
      </c>
      <c r="V7">
        <v>0.55</v>
      </c>
      <c r="W7">
        <v>0</v>
      </c>
      <c r="X7">
        <v>0</v>
      </c>
      <c r="Y7">
        <v>0.91</v>
      </c>
      <c r="Z7">
        <v>0.91</v>
      </c>
      <c r="AA7">
        <v>0</v>
      </c>
      <c r="AB7">
        <v>0.05</v>
      </c>
      <c r="AC7">
        <v>0.26</v>
      </c>
      <c r="AD7">
        <v>0.31</v>
      </c>
      <c r="AE7">
        <v>0</v>
      </c>
      <c r="AF7">
        <v>0</v>
      </c>
      <c r="AG7">
        <v>0</v>
      </c>
      <c r="AH7">
        <v>0</v>
      </c>
      <c r="AI7">
        <v>0</v>
      </c>
      <c r="AJ7">
        <v>0.02</v>
      </c>
    </row>
    <row r="8" spans="1:36">
      <c r="A8" t="s">
        <v>91</v>
      </c>
      <c r="B8">
        <v>0</v>
      </c>
      <c r="C8">
        <v>38.39</v>
      </c>
      <c r="D8">
        <v>126.39</v>
      </c>
      <c r="E8">
        <v>164.78</v>
      </c>
      <c r="F8">
        <v>0</v>
      </c>
      <c r="G8">
        <v>24.55</v>
      </c>
      <c r="H8">
        <v>76.4</v>
      </c>
      <c r="I8">
        <v>100.94</v>
      </c>
      <c r="J8">
        <v>0</v>
      </c>
      <c r="K8">
        <v>12.21</v>
      </c>
      <c r="L8">
        <v>4.56</v>
      </c>
      <c r="M8">
        <v>16.77</v>
      </c>
      <c r="N8">
        <v>282.49</v>
      </c>
      <c r="O8">
        <v>0</v>
      </c>
      <c r="P8">
        <v>50.65</v>
      </c>
      <c r="Q8">
        <v>36.54</v>
      </c>
      <c r="R8">
        <v>87.19</v>
      </c>
      <c r="S8">
        <v>0</v>
      </c>
      <c r="T8">
        <v>11.85</v>
      </c>
      <c r="U8">
        <v>68.92</v>
      </c>
      <c r="V8">
        <v>80.77</v>
      </c>
      <c r="W8">
        <v>0</v>
      </c>
      <c r="X8">
        <v>1.52</v>
      </c>
      <c r="Y8">
        <v>12.99</v>
      </c>
      <c r="Z8">
        <v>14.51</v>
      </c>
      <c r="AA8">
        <v>0</v>
      </c>
      <c r="AB8">
        <v>3.27</v>
      </c>
      <c r="AC8">
        <v>32.75</v>
      </c>
      <c r="AD8">
        <v>36.02</v>
      </c>
      <c r="AE8">
        <v>0</v>
      </c>
      <c r="AF8">
        <v>6.44</v>
      </c>
      <c r="AG8">
        <v>50.64</v>
      </c>
      <c r="AH8">
        <v>57.08</v>
      </c>
      <c r="AI8">
        <v>0</v>
      </c>
      <c r="AJ8">
        <v>1.04</v>
      </c>
    </row>
    <row r="9" spans="1:36">
      <c r="A9" t="s">
        <v>92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93</v>
      </c>
      <c r="B10">
        <v>0</v>
      </c>
      <c r="C10">
        <v>0</v>
      </c>
      <c r="D10">
        <v>0</v>
      </c>
      <c r="E10">
        <v>0</v>
      </c>
      <c r="F10">
        <v>0</v>
      </c>
      <c r="G10">
        <v>1.21</v>
      </c>
      <c r="H10">
        <v>0</v>
      </c>
      <c r="I10">
        <v>1.21</v>
      </c>
      <c r="J10">
        <v>0</v>
      </c>
      <c r="K10">
        <v>0</v>
      </c>
      <c r="L10">
        <v>0</v>
      </c>
      <c r="M10">
        <v>0</v>
      </c>
      <c r="N10">
        <v>1.21</v>
      </c>
      <c r="O10">
        <v>0</v>
      </c>
      <c r="P10">
        <v>0.92</v>
      </c>
      <c r="Q10">
        <v>0</v>
      </c>
      <c r="R10">
        <v>0.92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94</v>
      </c>
      <c r="B11">
        <v>0</v>
      </c>
      <c r="C11">
        <v>38.39</v>
      </c>
      <c r="D11">
        <v>126.39</v>
      </c>
      <c r="E11">
        <v>164.78</v>
      </c>
      <c r="F11">
        <v>0</v>
      </c>
      <c r="G11">
        <v>25.75</v>
      </c>
      <c r="H11">
        <v>76.4</v>
      </c>
      <c r="I11">
        <v>102.15</v>
      </c>
      <c r="J11">
        <v>0</v>
      </c>
      <c r="K11">
        <v>12.21</v>
      </c>
      <c r="L11">
        <v>4.56</v>
      </c>
      <c r="M11">
        <v>16.77</v>
      </c>
      <c r="N11">
        <v>283.69</v>
      </c>
      <c r="O11">
        <v>0</v>
      </c>
      <c r="P11">
        <v>51.57</v>
      </c>
      <c r="Q11">
        <v>36.54</v>
      </c>
      <c r="R11">
        <v>88.11</v>
      </c>
      <c r="S11">
        <v>0</v>
      </c>
      <c r="T11">
        <v>11.85</v>
      </c>
      <c r="U11">
        <v>68.92</v>
      </c>
      <c r="V11">
        <v>80.77</v>
      </c>
      <c r="W11">
        <v>0</v>
      </c>
      <c r="X11">
        <v>1.52</v>
      </c>
      <c r="Y11">
        <v>12.99</v>
      </c>
      <c r="Z11">
        <v>14.51</v>
      </c>
      <c r="AA11">
        <v>0</v>
      </c>
      <c r="AB11">
        <v>3.27</v>
      </c>
      <c r="AC11">
        <v>32.75</v>
      </c>
      <c r="AD11">
        <v>36.02</v>
      </c>
      <c r="AE11">
        <v>0</v>
      </c>
      <c r="AF11">
        <v>6.44</v>
      </c>
      <c r="AG11">
        <v>50.64</v>
      </c>
      <c r="AH11">
        <v>57.08</v>
      </c>
      <c r="AI11">
        <v>0</v>
      </c>
      <c r="AJ11">
        <v>1.04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00"/>
  <sheetViews>
    <sheetView workbookViewId="0">
      <selection activeCell="B95" sqref="B95"/>
    </sheetView>
  </sheetViews>
  <sheetFormatPr defaultColWidth="9" defaultRowHeight="16.8" outlineLevelCol="6"/>
  <cols>
    <col min="1" max="1" width="12.2890625" customWidth="1"/>
    <col min="2" max="2" width="34.5703125" customWidth="1"/>
    <col min="3" max="3" width="24.859375" customWidth="1"/>
    <col min="4" max="4" width="25.859375" customWidth="1"/>
    <col min="5" max="5" width="25.5703125" customWidth="1"/>
    <col min="6" max="6" width="6.4296875" customWidth="1"/>
    <col min="7" max="7" width="12.859375" customWidth="1"/>
    <col min="8" max="8" width="8.7109375" customWidth="1"/>
    <col min="9" max="10" width="6.4296875" customWidth="1"/>
    <col min="11" max="16" width="7.5703125" customWidth="1"/>
    <col min="17" max="17" width="6.4296875" customWidth="1"/>
    <col min="18" max="20" width="7.5703125" customWidth="1"/>
    <col min="21" max="21" width="6.4296875" customWidth="1"/>
    <col min="22" max="22" width="11.7109375" customWidth="1"/>
    <col min="23" max="23" width="7.5703125" customWidth="1"/>
    <col min="24" max="25" width="6.5703125" customWidth="1"/>
    <col min="26" max="26" width="8.7109375" customWidth="1"/>
    <col min="27" max="28" width="6.5703125" customWidth="1"/>
    <col min="29" max="34" width="7.5703125" customWidth="1"/>
    <col min="35" max="35" width="6.5703125" customWidth="1"/>
    <col min="36" max="38" width="7.5703125" customWidth="1"/>
    <col min="39" max="39" width="6.5703125" customWidth="1"/>
    <col min="40" max="40" width="35.140625" customWidth="1"/>
    <col min="41" max="41" width="33.7109375" customWidth="1"/>
  </cols>
  <sheetData>
    <row r="3" spans="1:4">
      <c r="A3" t="s">
        <v>41</v>
      </c>
      <c r="B3" t="s">
        <v>95</v>
      </c>
      <c r="C3" t="s">
        <v>96</v>
      </c>
      <c r="D3" t="s">
        <v>97</v>
      </c>
    </row>
    <row r="4" spans="1:4">
      <c r="A4" t="s">
        <v>69</v>
      </c>
      <c r="B4" s="13">
        <v>0</v>
      </c>
      <c r="C4" s="13">
        <v>0.08</v>
      </c>
      <c r="D4" s="13">
        <v>3.53</v>
      </c>
    </row>
    <row r="5" spans="1:4">
      <c r="A5" t="s">
        <v>56</v>
      </c>
      <c r="B5" s="13">
        <v>0</v>
      </c>
      <c r="C5" s="13">
        <v>1.94</v>
      </c>
      <c r="D5" s="13">
        <v>14.24</v>
      </c>
    </row>
    <row r="6" spans="1:4">
      <c r="A6" t="s">
        <v>65</v>
      </c>
      <c r="B6" s="13">
        <v>0</v>
      </c>
      <c r="C6" s="13">
        <v>0.41</v>
      </c>
      <c r="D6" s="13">
        <v>0.31</v>
      </c>
    </row>
    <row r="7" spans="1:4">
      <c r="A7" t="s">
        <v>74</v>
      </c>
      <c r="B7" s="13">
        <v>0</v>
      </c>
      <c r="C7" s="13">
        <v>0.43</v>
      </c>
      <c r="D7" s="13">
        <v>4.99</v>
      </c>
    </row>
    <row r="8" spans="1:4">
      <c r="A8" t="s">
        <v>49</v>
      </c>
      <c r="B8" s="13">
        <v>0</v>
      </c>
      <c r="C8" s="13">
        <v>8.88</v>
      </c>
      <c r="D8" s="13">
        <v>40.22</v>
      </c>
    </row>
    <row r="9" spans="1:4">
      <c r="A9" t="s">
        <v>42</v>
      </c>
      <c r="B9" s="13">
        <v>0</v>
      </c>
      <c r="C9" s="13">
        <v>26.67</v>
      </c>
      <c r="D9" s="13">
        <v>63.12</v>
      </c>
    </row>
    <row r="10" spans="1:4">
      <c r="A10" t="s">
        <v>94</v>
      </c>
      <c r="B10" s="13">
        <v>0</v>
      </c>
      <c r="C10" s="13">
        <v>38.41</v>
      </c>
      <c r="D10" s="13">
        <v>126.41</v>
      </c>
    </row>
    <row r="12" spans="1:3">
      <c r="A12" t="s">
        <v>41</v>
      </c>
      <c r="B12" t="s">
        <v>98</v>
      </c>
      <c r="C12" t="s">
        <v>99</v>
      </c>
    </row>
    <row r="13" spans="1:3">
      <c r="A13" t="s">
        <v>69</v>
      </c>
      <c r="B13" s="14">
        <f>C4/(C4+D4)</f>
        <v>0.0221606648199446</v>
      </c>
      <c r="C13" s="14">
        <f>D4/(D4+C4)</f>
        <v>0.977839335180055</v>
      </c>
    </row>
    <row r="14" spans="1:3">
      <c r="A14" t="s">
        <v>56</v>
      </c>
      <c r="B14" s="14">
        <f t="shared" ref="B14:B19" si="0">C5/(C5+D5)</f>
        <v>0.119901112484549</v>
      </c>
      <c r="C14" s="14">
        <f t="shared" ref="C14:C19" si="1">D5/(D5+C5)</f>
        <v>0.880098887515451</v>
      </c>
    </row>
    <row r="15" spans="1:3">
      <c r="A15" t="s">
        <v>65</v>
      </c>
      <c r="B15" s="14">
        <f t="shared" si="0"/>
        <v>0.569444444444445</v>
      </c>
      <c r="C15" s="14">
        <f t="shared" si="1"/>
        <v>0.430555555555556</v>
      </c>
    </row>
    <row r="16" spans="1:3">
      <c r="A16" t="s">
        <v>74</v>
      </c>
      <c r="B16" s="14">
        <f t="shared" si="0"/>
        <v>0.0793357933579336</v>
      </c>
      <c r="C16" s="14">
        <f t="shared" si="1"/>
        <v>0.920664206642066</v>
      </c>
    </row>
    <row r="17" spans="1:3">
      <c r="A17" t="s">
        <v>49</v>
      </c>
      <c r="B17" s="14">
        <f t="shared" si="0"/>
        <v>0.180855397148676</v>
      </c>
      <c r="C17" s="14">
        <f t="shared" si="1"/>
        <v>0.819144602851324</v>
      </c>
    </row>
    <row r="18" spans="1:3">
      <c r="A18" t="s">
        <v>42</v>
      </c>
      <c r="B18" s="14">
        <f t="shared" si="0"/>
        <v>0.297026394921483</v>
      </c>
      <c r="C18" s="14">
        <f t="shared" si="1"/>
        <v>0.702973605078517</v>
      </c>
    </row>
    <row r="19" spans="1:3">
      <c r="A19" t="s">
        <v>94</v>
      </c>
      <c r="B19" s="14">
        <f t="shared" si="0"/>
        <v>0.233042106540468</v>
      </c>
      <c r="C19" s="14">
        <f t="shared" si="1"/>
        <v>0.766957893459532</v>
      </c>
    </row>
    <row r="24" spans="1:2">
      <c r="A24" t="s">
        <v>0</v>
      </c>
      <c r="B24" t="s">
        <v>100</v>
      </c>
    </row>
    <row r="25" spans="1:2">
      <c r="A25" t="s">
        <v>42</v>
      </c>
      <c r="B25" s="13">
        <v>87.39</v>
      </c>
    </row>
    <row r="26" spans="1:2">
      <c r="A26" t="s">
        <v>48</v>
      </c>
      <c r="B26" s="13">
        <v>39.83</v>
      </c>
    </row>
    <row r="27" spans="1:2">
      <c r="A27" t="s">
        <v>64</v>
      </c>
      <c r="B27" s="13">
        <v>30.21</v>
      </c>
    </row>
    <row r="28" spans="1:2">
      <c r="A28" t="s">
        <v>45</v>
      </c>
      <c r="B28" s="13">
        <v>20.27</v>
      </c>
    </row>
    <row r="29" spans="1:2">
      <c r="A29" t="s">
        <v>47</v>
      </c>
      <c r="B29" s="13">
        <v>20.24</v>
      </c>
    </row>
    <row r="30" spans="1:2">
      <c r="A30" t="s">
        <v>46</v>
      </c>
      <c r="B30" s="13">
        <v>16.6</v>
      </c>
    </row>
    <row r="31" spans="1:2">
      <c r="A31" t="s">
        <v>44</v>
      </c>
      <c r="B31" s="13">
        <v>15.4</v>
      </c>
    </row>
    <row r="32" spans="1:2">
      <c r="A32" t="s">
        <v>50</v>
      </c>
      <c r="B32" s="13">
        <v>8.86</v>
      </c>
    </row>
    <row r="33" spans="1:2">
      <c r="A33" t="s">
        <v>74</v>
      </c>
      <c r="B33" s="13">
        <v>6.82</v>
      </c>
    </row>
    <row r="34" spans="1:2">
      <c r="A34" t="s">
        <v>62</v>
      </c>
      <c r="B34" s="13">
        <v>5.57</v>
      </c>
    </row>
    <row r="35" spans="1:2">
      <c r="A35" t="s">
        <v>94</v>
      </c>
      <c r="B35" s="13">
        <v>251.19</v>
      </c>
    </row>
    <row r="38" spans="1:5">
      <c r="A38" t="s">
        <v>41</v>
      </c>
      <c r="B38" t="s">
        <v>101</v>
      </c>
      <c r="C38" t="s">
        <v>102</v>
      </c>
      <c r="D38" t="s">
        <v>103</v>
      </c>
      <c r="E38" t="s">
        <v>104</v>
      </c>
    </row>
    <row r="39" spans="1:7">
      <c r="A39" t="s">
        <v>69</v>
      </c>
      <c r="B39" s="13">
        <v>1.09</v>
      </c>
      <c r="C39" s="13">
        <v>1.14</v>
      </c>
      <c r="D39" s="13">
        <v>0</v>
      </c>
      <c r="E39" s="13">
        <v>0</v>
      </c>
      <c r="G39">
        <f>B39+C39+D39+E39</f>
        <v>2.23</v>
      </c>
    </row>
    <row r="40" spans="1:7">
      <c r="A40" t="s">
        <v>56</v>
      </c>
      <c r="B40" s="13">
        <v>1.32</v>
      </c>
      <c r="C40" s="13">
        <v>11.56</v>
      </c>
      <c r="D40" s="13">
        <v>0.29</v>
      </c>
      <c r="E40" s="13">
        <v>0</v>
      </c>
      <c r="G40">
        <f>B40+C40+D40+E40</f>
        <v>13.17</v>
      </c>
    </row>
    <row r="41" spans="1:7">
      <c r="A41" t="s">
        <v>65</v>
      </c>
      <c r="B41" s="13">
        <v>33.35</v>
      </c>
      <c r="C41" s="13">
        <v>0.1</v>
      </c>
      <c r="D41" s="13">
        <v>2.46</v>
      </c>
      <c r="E41" s="13">
        <v>0</v>
      </c>
      <c r="G41">
        <f t="shared" ref="G41:G44" si="2">B41+C41+D41+E41</f>
        <v>35.91</v>
      </c>
    </row>
    <row r="42" spans="1:7">
      <c r="A42" t="s">
        <v>74</v>
      </c>
      <c r="B42" s="13">
        <v>3.69</v>
      </c>
      <c r="C42" s="13">
        <v>0.55</v>
      </c>
      <c r="D42" s="13">
        <v>0.32</v>
      </c>
      <c r="E42" s="13">
        <v>0</v>
      </c>
      <c r="G42">
        <f t="shared" si="2"/>
        <v>4.56</v>
      </c>
    </row>
    <row r="43" spans="1:7">
      <c r="A43" t="s">
        <v>49</v>
      </c>
      <c r="B43" s="13">
        <v>7.57</v>
      </c>
      <c r="C43" s="13">
        <v>29.41</v>
      </c>
      <c r="D43" s="13">
        <v>2.43</v>
      </c>
      <c r="E43" s="13">
        <v>11.44</v>
      </c>
      <c r="G43">
        <f t="shared" si="2"/>
        <v>50.85</v>
      </c>
    </row>
    <row r="44" spans="1:7">
      <c r="A44" t="s">
        <v>42</v>
      </c>
      <c r="B44" s="13">
        <v>40.18</v>
      </c>
      <c r="C44" s="13">
        <v>38.03</v>
      </c>
      <c r="D44" s="13">
        <v>30.54</v>
      </c>
      <c r="E44" s="13">
        <v>45.65</v>
      </c>
      <c r="G44">
        <f t="shared" si="2"/>
        <v>154.4</v>
      </c>
    </row>
    <row r="45" spans="1:5">
      <c r="A45" t="s">
        <v>94</v>
      </c>
      <c r="B45" s="13">
        <v>87.2</v>
      </c>
      <c r="C45" s="13">
        <v>80.79</v>
      </c>
      <c r="D45" s="13">
        <v>36.04</v>
      </c>
      <c r="E45" s="13">
        <v>57.09</v>
      </c>
    </row>
    <row r="48" spans="1:7">
      <c r="A48" t="s">
        <v>41</v>
      </c>
      <c r="B48" t="s">
        <v>17</v>
      </c>
      <c r="C48" t="s">
        <v>102</v>
      </c>
      <c r="D48" t="s">
        <v>103</v>
      </c>
      <c r="E48" t="s">
        <v>104</v>
      </c>
      <c r="G48" t="s">
        <v>105</v>
      </c>
    </row>
    <row r="49" spans="1:7">
      <c r="A49" t="s">
        <v>69</v>
      </c>
      <c r="B49" s="14">
        <f>B39/$G39</f>
        <v>0.488789237668161</v>
      </c>
      <c r="C49" s="14">
        <f>C39/$G39</f>
        <v>0.511210762331838</v>
      </c>
      <c r="D49" s="14">
        <f>D39/$G39</f>
        <v>0</v>
      </c>
      <c r="E49" s="14">
        <f>E39/$G39</f>
        <v>0</v>
      </c>
      <c r="G49" s="14">
        <f>B49+C49+D49+E49</f>
        <v>1</v>
      </c>
    </row>
    <row r="50" spans="1:7">
      <c r="A50" t="s">
        <v>56</v>
      </c>
      <c r="B50" s="14">
        <f t="shared" ref="B50:B54" si="3">B40/$G40</f>
        <v>0.100227790432802</v>
      </c>
      <c r="C50" s="14">
        <f t="shared" ref="C50:E54" si="4">C40/$G40</f>
        <v>0.877752467729689</v>
      </c>
      <c r="D50" s="14">
        <f t="shared" si="4"/>
        <v>0.0220197418375095</v>
      </c>
      <c r="E50" s="14">
        <f t="shared" si="4"/>
        <v>0</v>
      </c>
      <c r="G50" s="14">
        <f t="shared" ref="G50:G54" si="5">B50+C50+D50+E50</f>
        <v>1</v>
      </c>
    </row>
    <row r="51" spans="1:7">
      <c r="A51" t="s">
        <v>65</v>
      </c>
      <c r="B51" s="14">
        <f t="shared" si="3"/>
        <v>0.928710665552771</v>
      </c>
      <c r="C51" s="14">
        <f t="shared" si="4"/>
        <v>0.00278473962684489</v>
      </c>
      <c r="D51" s="14">
        <f t="shared" si="4"/>
        <v>0.0685045948203843</v>
      </c>
      <c r="E51" s="14">
        <f t="shared" si="4"/>
        <v>0</v>
      </c>
      <c r="G51" s="14">
        <f t="shared" si="5"/>
        <v>1</v>
      </c>
    </row>
    <row r="52" spans="1:7">
      <c r="A52" t="s">
        <v>74</v>
      </c>
      <c r="B52" s="14">
        <f t="shared" si="3"/>
        <v>0.809210526315789</v>
      </c>
      <c r="C52" s="14">
        <f t="shared" si="4"/>
        <v>0.120614035087719</v>
      </c>
      <c r="D52" s="14">
        <f t="shared" si="4"/>
        <v>0.0701754385964912</v>
      </c>
      <c r="E52" s="14">
        <f t="shared" si="4"/>
        <v>0</v>
      </c>
      <c r="G52" s="14">
        <f t="shared" si="5"/>
        <v>1</v>
      </c>
    </row>
    <row r="53" spans="1:7">
      <c r="A53" t="s">
        <v>49</v>
      </c>
      <c r="B53" s="14">
        <f t="shared" si="3"/>
        <v>0.148869223205506</v>
      </c>
      <c r="C53" s="14">
        <f t="shared" si="4"/>
        <v>0.578367748279253</v>
      </c>
      <c r="D53" s="14">
        <f t="shared" si="4"/>
        <v>0.047787610619469</v>
      </c>
      <c r="E53" s="14">
        <f t="shared" si="4"/>
        <v>0.224975417895772</v>
      </c>
      <c r="G53" s="14">
        <f t="shared" si="5"/>
        <v>1</v>
      </c>
    </row>
    <row r="54" spans="1:7">
      <c r="A54" t="s">
        <v>42</v>
      </c>
      <c r="B54" s="14">
        <f t="shared" si="3"/>
        <v>0.260233160621762</v>
      </c>
      <c r="C54" s="14">
        <f t="shared" si="4"/>
        <v>0.24630829015544</v>
      </c>
      <c r="D54" s="14">
        <f t="shared" si="4"/>
        <v>0.19779792746114</v>
      </c>
      <c r="E54" s="14">
        <f t="shared" si="4"/>
        <v>0.295660621761658</v>
      </c>
      <c r="G54" s="14">
        <f t="shared" si="5"/>
        <v>1</v>
      </c>
    </row>
    <row r="72" spans="1:2">
      <c r="A72" t="s">
        <v>41</v>
      </c>
      <c r="B72" t="s">
        <v>100</v>
      </c>
    </row>
    <row r="73" spans="1:2">
      <c r="A73" t="s">
        <v>42</v>
      </c>
      <c r="B73" s="13">
        <v>159.9</v>
      </c>
    </row>
    <row r="74" spans="1:2">
      <c r="A74" t="s">
        <v>49</v>
      </c>
      <c r="B74" s="13">
        <v>55.99</v>
      </c>
    </row>
    <row r="75" spans="1:2">
      <c r="A75" t="s">
        <v>74</v>
      </c>
      <c r="B75" s="13">
        <v>10.34</v>
      </c>
    </row>
    <row r="76" spans="1:2">
      <c r="A76" t="s">
        <v>65</v>
      </c>
      <c r="B76" s="13">
        <v>36</v>
      </c>
    </row>
    <row r="77" spans="1:2">
      <c r="A77" t="s">
        <v>56</v>
      </c>
      <c r="B77" s="13">
        <v>16.65</v>
      </c>
    </row>
    <row r="78" spans="1:2">
      <c r="A78" t="s">
        <v>69</v>
      </c>
      <c r="B78" s="13">
        <v>3.61</v>
      </c>
    </row>
    <row r="79" spans="1:2">
      <c r="A79" t="s">
        <v>94</v>
      </c>
      <c r="B79" s="13">
        <v>282.49</v>
      </c>
    </row>
    <row r="87" spans="1:2">
      <c r="A87" t="s">
        <v>0</v>
      </c>
      <c r="B87" t="s">
        <v>37</v>
      </c>
    </row>
    <row r="88" spans="1:2">
      <c r="A88" t="s">
        <v>64</v>
      </c>
      <c r="B88">
        <v>0.005</v>
      </c>
    </row>
    <row r="89" spans="1:2">
      <c r="A89" t="s">
        <v>66</v>
      </c>
      <c r="B89">
        <v>0</v>
      </c>
    </row>
    <row r="90" spans="1:2">
      <c r="A90" t="s">
        <v>74</v>
      </c>
      <c r="B90">
        <v>0.28</v>
      </c>
    </row>
    <row r="91" spans="1:2">
      <c r="A91" t="s">
        <v>42</v>
      </c>
      <c r="B91">
        <v>0.337</v>
      </c>
    </row>
    <row r="100" spans="3:3">
      <c r="C100" s="15"/>
    </row>
  </sheetData>
  <pageMargins left="0.7" right="0.7" top="0.75" bottom="0.75" header="0.3" footer="0.3"/>
  <headerFooter/>
  <drawing r:id="rId5"/>
  <tableParts count="3"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showGridLines="0" tabSelected="1" zoomScale="70" zoomScaleNormal="70" workbookViewId="0">
      <selection activeCell="Z26" sqref="Z26"/>
    </sheetView>
  </sheetViews>
  <sheetFormatPr defaultColWidth="9" defaultRowHeight="16.8" outlineLevelRow="2"/>
  <sheetData>
    <row r="1" ht="13.5" customHeight="1" spans="1:19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0"/>
    </row>
    <row r="2" ht="34.4" spans="1:19">
      <c r="A2" s="3"/>
      <c r="B2" s="4"/>
      <c r="C2" s="5"/>
      <c r="D2" s="4"/>
      <c r="E2" s="8" t="s">
        <v>106</v>
      </c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1"/>
    </row>
    <row r="3" ht="18" customHeight="1" spans="1:19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District_Data</vt:lpstr>
      <vt:lpstr>Sector_Long_Format</vt:lpstr>
      <vt:lpstr>Govt_Summary_Rows</vt:lpstr>
      <vt:lpstr>District_Data_KPIS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2026-07-31T18:54:00Z</dcterms:created>
  <dcterms:modified xsi:type="dcterms:W3CDTF">2026-07-31T19:30:32Z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00AA1788D51D189D9DA66C6A8F1419C4_42</vt:lpwstr>
  </property>
  <property fmtid="{D5CDD505-2E9C-101B-9397-08002B2CF9AE}" pid="3" name="KSOProductBuildVer">
    <vt:lpwstr>1033-12.1.23143.23143</vt:lpwstr>
  </property>
</Properties>
</file>